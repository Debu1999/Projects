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ud\Downloads\"/>
    </mc:Choice>
  </mc:AlternateContent>
  <xr:revisionPtr revIDLastSave="0" documentId="8_{8327B388-48D1-494B-801E-084124DB7C73}" xr6:coauthVersionLast="47" xr6:coauthVersionMax="47" xr10:uidLastSave="{00000000-0000-0000-0000-000000000000}"/>
  <bookViews>
    <workbookView xWindow="-108" yWindow="-108" windowWidth="23256" windowHeight="12456" xr2:uid="{3BDE3E86-B7CA-4785-B5BB-0CFE8357B64F}"/>
  </bookViews>
  <sheets>
    <sheet name="COTS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99" i="1" l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P17" i="1"/>
  <c r="O17" i="1"/>
  <c r="Q17" i="1" s="1"/>
  <c r="N17" i="1"/>
  <c r="A17" i="1"/>
  <c r="P16" i="1"/>
  <c r="O16" i="1"/>
  <c r="Q16" i="1" s="1"/>
  <c r="N16" i="1"/>
  <c r="A16" i="1"/>
  <c r="A15" i="1"/>
  <c r="P14" i="1"/>
  <c r="O14" i="1"/>
  <c r="Q14" i="1" s="1"/>
  <c r="N14" i="1"/>
  <c r="A14" i="1"/>
  <c r="P13" i="1"/>
  <c r="O13" i="1"/>
  <c r="Q13" i="1" s="1"/>
  <c r="N13" i="1"/>
  <c r="A13" i="1"/>
  <c r="A12" i="1"/>
  <c r="P11" i="1"/>
  <c r="O11" i="1"/>
  <c r="Q11" i="1" s="1"/>
  <c r="N11" i="1"/>
  <c r="A11" i="1"/>
  <c r="P10" i="1"/>
  <c r="O10" i="1"/>
  <c r="Q10" i="1" s="1"/>
  <c r="N10" i="1"/>
  <c r="A10" i="1"/>
  <c r="A9" i="1"/>
  <c r="A8" i="1"/>
  <c r="N7" i="1"/>
  <c r="A7" i="1"/>
  <c r="N6" i="1"/>
  <c r="A6" i="1"/>
  <c r="N5" i="1"/>
  <c r="A5" i="1"/>
  <c r="N4" i="1"/>
  <c r="A4" i="1"/>
  <c r="N3" i="1"/>
  <c r="A3" i="1"/>
  <c r="N2" i="1"/>
  <c r="A2" i="1"/>
</calcChain>
</file>

<file path=xl/sharedStrings.xml><?xml version="1.0" encoding="utf-8"?>
<sst xmlns="http://schemas.openxmlformats.org/spreadsheetml/2006/main" count="1081" uniqueCount="484">
  <si>
    <t>#</t>
  </si>
  <si>
    <t>Application Name</t>
  </si>
  <si>
    <t>SecureTrack ID</t>
  </si>
  <si>
    <t>SBG</t>
  </si>
  <si>
    <t>Application Owner</t>
  </si>
  <si>
    <t>Patch Release Frequency</t>
  </si>
  <si>
    <t>Evidence Received</t>
  </si>
  <si>
    <t>Evidence Date</t>
  </si>
  <si>
    <t>Timestamp Valid</t>
  </si>
  <si>
    <t>Compliance Status</t>
  </si>
  <si>
    <t>Date Marked</t>
  </si>
  <si>
    <t>COTS SUMMARY</t>
  </si>
  <si>
    <t>EIQMI - LOTTE 6.4.25 PROD</t>
  </si>
  <si>
    <t>ASN0001322</t>
  </si>
  <si>
    <t>IA</t>
  </si>
  <si>
    <t>Abhijeet Chaubey</t>
  </si>
  <si>
    <t>Biannually</t>
  </si>
  <si>
    <t>Compliant</t>
  </si>
  <si>
    <t>Total Applications</t>
  </si>
  <si>
    <t xml:space="preserve">SAP  MES 15.1 PROD </t>
  </si>
  <si>
    <t>ASN0001620</t>
  </si>
  <si>
    <t>PMT-Ignition IIOT platform (Aggregator) 9.7 PROD</t>
  </si>
  <si>
    <t>ASN0009470</t>
  </si>
  <si>
    <t>CORP</t>
  </si>
  <si>
    <t>Non-Compliant</t>
  </si>
  <si>
    <t>HBT-Ignition IIOT platform (Aggregator) 8.1 PROD</t>
  </si>
  <si>
    <t>ASN0009702</t>
  </si>
  <si>
    <t>Pending</t>
  </si>
  <si>
    <t>IGNITION GE4U 8.1 PROD</t>
  </si>
  <si>
    <t>ASN0009797</t>
  </si>
  <si>
    <t>Under Review</t>
  </si>
  <si>
    <t>IGNITION IN51 8.1 PROD</t>
  </si>
  <si>
    <t>ASN0010882</t>
  </si>
  <si>
    <t>Compliance %</t>
  </si>
  <si>
    <t>Gitlab SOC 16.5 PROD</t>
  </si>
  <si>
    <t>ASN0007068</t>
  </si>
  <si>
    <t>Abhilash Elayaperumal</t>
  </si>
  <si>
    <t>Monthly</t>
  </si>
  <si>
    <t>DDI OnPrem</t>
  </si>
  <si>
    <t>ASN0002720</t>
  </si>
  <si>
    <t>Ajeeshkumar S S</t>
  </si>
  <si>
    <t>Annually</t>
  </si>
  <si>
    <t>Total</t>
  </si>
  <si>
    <t>Cisco Identity Services Engine</t>
  </si>
  <si>
    <t>ASN0008507</t>
  </si>
  <si>
    <t>Quarterly</t>
  </si>
  <si>
    <t>AERO</t>
  </si>
  <si>
    <t>CORPVPN Remote Access</t>
  </si>
  <si>
    <t>ASN0008680</t>
  </si>
  <si>
    <t>PA</t>
  </si>
  <si>
    <t>SAP NWCE (BPP) 7.31 PROD</t>
  </si>
  <si>
    <t>ASN0000151</t>
  </si>
  <si>
    <t>Amit Kurup</t>
  </si>
  <si>
    <t>SAP ERP (CIP) ECC 6.0 PROD</t>
  </si>
  <si>
    <t>ASN0000200</t>
  </si>
  <si>
    <t>PT</t>
  </si>
  <si>
    <t>SAP Portal 7.31 PROD CORP</t>
  </si>
  <si>
    <t>ASN0000309</t>
  </si>
  <si>
    <t>BA</t>
  </si>
  <si>
    <t>SAP SOLMAN (ESM) 7.2 PROD</t>
  </si>
  <si>
    <t>ASN0000518</t>
  </si>
  <si>
    <t>SAP ERP (BRP) ECC 6.0 PROD</t>
  </si>
  <si>
    <t>ASN0000703</t>
  </si>
  <si>
    <t>SAP ERP (ERP) ECC 6.0 PROD</t>
  </si>
  <si>
    <t>ASN0001278</t>
  </si>
  <si>
    <t>SAP NET-WEAVER GATEWAY (VHP) 7.4 PROD</t>
  </si>
  <si>
    <t>ASN0001434</t>
  </si>
  <si>
    <t>SAP WEBDISPATCHER ECC 6.0 PROD</t>
  </si>
  <si>
    <t>ASN0001803</t>
  </si>
  <si>
    <t>SAP TOOLS 7.31 PROD CORP</t>
  </si>
  <si>
    <t>ASN0001998</t>
  </si>
  <si>
    <t>SAP NW (EGP) 7.4 PROD</t>
  </si>
  <si>
    <t>ASN0002648</t>
  </si>
  <si>
    <t>REAL TIME DATA REPLICATION HVR NEC 6.1.0 PROD CORP</t>
  </si>
  <si>
    <t>ASN0013532</t>
  </si>
  <si>
    <t>Amit Mool</t>
  </si>
  <si>
    <t>Bi-annually</t>
  </si>
  <si>
    <t>CONFIGURATOR - INTELLIGRATED 12.2.12 PROD</t>
  </si>
  <si>
    <t>ASN0002028</t>
  </si>
  <si>
    <t>Amit Nirulkar</t>
  </si>
  <si>
    <t>SAP CFOLDERS (BFP) 7 PROD</t>
  </si>
  <si>
    <t>ASN0003135</t>
  </si>
  <si>
    <t>IBM STERLING B2BI 6.1.0.4 PROD CORP</t>
  </si>
  <si>
    <t>ASN0001059</t>
  </si>
  <si>
    <t>Ana Zamfir</t>
  </si>
  <si>
    <t>Informatica Product Information Management 10.1 PROD</t>
  </si>
  <si>
    <t>ASN0001021</t>
  </si>
  <si>
    <t>Ashwin Nayak</t>
  </si>
  <si>
    <t>Informatica IDQ 10.2 HF2 PROD</t>
  </si>
  <si>
    <t>ASN0007040</t>
  </si>
  <si>
    <t>Informatica MDM 10.3 PROD</t>
  </si>
  <si>
    <t>ASN0007042</t>
  </si>
  <si>
    <t>OpenManage Enterprise(OpenManage Enterprise service) 4.1 PROD</t>
  </si>
  <si>
    <t>ASN0009493</t>
  </si>
  <si>
    <t>Attila Valent</t>
  </si>
  <si>
    <t>WINDSX  6.0.0.22 PROD PT</t>
  </si>
  <si>
    <t>ASN0000776</t>
  </si>
  <si>
    <t>David Sikes</t>
  </si>
  <si>
    <t>SITECORE FWD 9 PROD</t>
  </si>
  <si>
    <t>ASN0000557</t>
  </si>
  <si>
    <t>Deb Mal</t>
  </si>
  <si>
    <t>JOULE APPLICATIONS 7.4 PROD</t>
  </si>
  <si>
    <t>ASN0001424</t>
  </si>
  <si>
    <t>Incident Response Platform - IRIS 1 PROD CORP</t>
  </si>
  <si>
    <t>ASN0019866</t>
  </si>
  <si>
    <t>Dedric Mortelmans</t>
  </si>
  <si>
    <t>ORACLE ERP - INTELLIGRATED 12.2.12. PROD</t>
  </si>
  <si>
    <t>ASN0000308</t>
  </si>
  <si>
    <t>Dinesh Garg</t>
  </si>
  <si>
    <t>ORACLE APEX - INTELLIGRATED 5.1  PROD</t>
  </si>
  <si>
    <t>ASN0001365</t>
  </si>
  <si>
    <t>ORACLE ASCP - INTELLIGRATED 12.2.12 PROD IA</t>
  </si>
  <si>
    <t>ASN0015545</t>
  </si>
  <si>
    <t>QUALTRAX 19.3 R3 PROD PT</t>
  </si>
  <si>
    <t>ASN0001033</t>
  </si>
  <si>
    <t>Edward Pagan</t>
  </si>
  <si>
    <t>CHEMLAUNCH 1.0 PROD PT</t>
  </si>
  <si>
    <t>ASN0001301</t>
  </si>
  <si>
    <t>anu</t>
  </si>
  <si>
    <t>CHROMELEON 12.1 PROD PT</t>
  </si>
  <si>
    <t>ASN0002975</t>
  </si>
  <si>
    <t>OpenLab 2.8 PROD PT</t>
  </si>
  <si>
    <t>ASN0022437</t>
  </si>
  <si>
    <t>INFORMATICA POWERCENTER 10.5 HF6 PROD CORP</t>
  </si>
  <si>
    <t>ASN0007041</t>
  </si>
  <si>
    <t>Gajanan Shinde</t>
  </si>
  <si>
    <t>Control-M 9.0.22 PROD CORP</t>
  </si>
  <si>
    <t>ASN0014230</t>
  </si>
  <si>
    <t>HighSpot 1 PROD CORP</t>
  </si>
  <si>
    <t>ASN0015742</t>
  </si>
  <si>
    <t>Gaurang Parmar</t>
  </si>
  <si>
    <t>HR ANALYTICS-ORACLE-OBIEE</t>
  </si>
  <si>
    <t>ASN0000103</t>
  </si>
  <si>
    <t>Hozefa Sihorwala</t>
  </si>
  <si>
    <t>PEOPLESOFT 9.2 PROD CORP</t>
  </si>
  <si>
    <t>ASN0000248</t>
  </si>
  <si>
    <t>2026-7-15</t>
  </si>
  <si>
    <t>HR DIRECT 1.0 PROD</t>
  </si>
  <si>
    <t>ASN0000408</t>
  </si>
  <si>
    <t>GLOBAL COMPENSATION 1.0 PROD</t>
  </si>
  <si>
    <t>ASN0001316</t>
  </si>
  <si>
    <t>Oracle HCM Integration Cloud Gen 3 PROD CORP</t>
  </si>
  <si>
    <t>ASN0016079</t>
  </si>
  <si>
    <t>2026-7-10</t>
  </si>
  <si>
    <t>Oracle HCM 24A PROD CORP</t>
  </si>
  <si>
    <t>ASN0016085</t>
  </si>
  <si>
    <t>Blancco Blancco Drive Eraser - Enterprise Volume Edition 7.15.0 PROD CORP</t>
  </si>
  <si>
    <t>ASN0019711</t>
  </si>
  <si>
    <t>Iain Young</t>
  </si>
  <si>
    <t>SHAREPOINT BUSINESS INTELLIGENCE 2016 PROD</t>
  </si>
  <si>
    <t>ASN0000160</t>
  </si>
  <si>
    <t>Jagadeesh Nethakara</t>
  </si>
  <si>
    <t>SharePoint 2016 Non-ITAR PROD CORP</t>
  </si>
  <si>
    <t>ASN0000792</t>
  </si>
  <si>
    <t>Fire Alarms Cause &amp; Effect Tool (FACET) PROD</t>
  </si>
  <si>
    <t>ASN0001359</t>
  </si>
  <si>
    <t>Jagdeesh Subramanian</t>
  </si>
  <si>
    <t>Vendor Dependent</t>
  </si>
  <si>
    <t>AzureIOT_AI GA release of IoT Hub PROD BA</t>
  </si>
  <si>
    <t>ASN0016369</t>
  </si>
  <si>
    <t>Lenel Onguard Web 1 PROD BA</t>
  </si>
  <si>
    <t>ASN0022699</t>
  </si>
  <si>
    <t>SAP CRM (BYP) 7.02 PROD</t>
  </si>
  <si>
    <t>ASN0000638</t>
  </si>
  <si>
    <t>Jaroslav Filip</t>
  </si>
  <si>
    <t>2026-7-24</t>
  </si>
  <si>
    <t>CCC AVEVA PI IA22 1 PROD PA</t>
  </si>
  <si>
    <t>ASN0016010</t>
  </si>
  <si>
    <t>Jonathan Hull</t>
  </si>
  <si>
    <t>HONEYWELL BARTENDER STANDALONE 1.0 PROD</t>
  </si>
  <si>
    <t>ASN0001285</t>
  </si>
  <si>
    <t>Jose Antonio Hernandez</t>
  </si>
  <si>
    <t>Bartender - UK2F 2022 PROD</t>
  </si>
  <si>
    <t>ASN0001553</t>
  </si>
  <si>
    <t>BARTENDER 2022 PROD CORP</t>
  </si>
  <si>
    <t>ASN0002436</t>
  </si>
  <si>
    <t>CAYOSOFT 4.0 PROD CORP</t>
  </si>
  <si>
    <t>ASN0006770</t>
  </si>
  <si>
    <t>Keni Foreman</t>
  </si>
  <si>
    <t>CAYOSOFT 10 PROD CORP</t>
  </si>
  <si>
    <t>ASN0013970</t>
  </si>
  <si>
    <t>JFROG ARTIFACTORY NA 5.4.5 PROD</t>
  </si>
  <si>
    <t>ASN0000290</t>
  </si>
  <si>
    <t>Krippashankar Yadav</t>
  </si>
  <si>
    <t>JIRA 9.10 PROD CORP</t>
  </si>
  <si>
    <t>ASN0000464</t>
  </si>
  <si>
    <t>JAMA  - HON Standard Instance 1.0 PROD</t>
  </si>
  <si>
    <t>ASN0000521</t>
  </si>
  <si>
    <t>TEAM FOUNDATION SERVER - INTELLIGRATED 2013 PROD</t>
  </si>
  <si>
    <t>ASN0000627</t>
  </si>
  <si>
    <t>SONARQUBE  - HON Standard Instance 5.6.6 PROD</t>
  </si>
  <si>
    <t>ASN0000711</t>
  </si>
  <si>
    <t>JIRA MOVILIZER 6.4.14 PROD</t>
  </si>
  <si>
    <t>ASN0000926</t>
  </si>
  <si>
    <t>JIRA Datacenter</t>
  </si>
  <si>
    <t>ASN0000927</t>
  </si>
  <si>
    <t>BITBUCKET 8.9.1 PROD CORP</t>
  </si>
  <si>
    <t>ASN0001378</t>
  </si>
  <si>
    <t>IBM RATIONAL SYNERGY 5.3 PROD CORP</t>
  </si>
  <si>
    <t>ASN0001470</t>
  </si>
  <si>
    <t>AERO JAMA 2015.2 PROD</t>
  </si>
  <si>
    <t>ASN0001645</t>
  </si>
  <si>
    <t>BAMBOO 9.2.7 PROD CORP</t>
  </si>
  <si>
    <t>ASN0002183</t>
  </si>
  <si>
    <t>JENKINS 1.1.0.0 PROD</t>
  </si>
  <si>
    <t>ASN0002476</t>
  </si>
  <si>
    <t>IAR EMBEDDED WORKBENCH LICENCE SERVER 1.0 PROD</t>
  </si>
  <si>
    <t>ASN0002653</t>
  </si>
  <si>
    <t>MERCURIAL SCM VA51 2.9 PROD</t>
  </si>
  <si>
    <t>ASN0002668</t>
  </si>
  <si>
    <t>IBM CLEAR CASE 9.1.0.3 PROD PA</t>
  </si>
  <si>
    <t>ASN0002706</t>
  </si>
  <si>
    <t>CROWD - HON Standard Instance 2.8.3 PROD</t>
  </si>
  <si>
    <t>ASN0002712</t>
  </si>
  <si>
    <t>OCTOPUS DEPLOY  - HON Standard Instance Cloud PROD</t>
  </si>
  <si>
    <t>ASN0002881</t>
  </si>
  <si>
    <t>SUBVERSION - HON Standard Instance 3.2.1 PROD</t>
  </si>
  <si>
    <t>ASN0003119</t>
  </si>
  <si>
    <t>Collaborator - HON Standard Instance 14.6 PROD</t>
  </si>
  <si>
    <t>ASN0003227</t>
  </si>
  <si>
    <t>CLEAR CASE - AZ75 9.0.1.9 PROD</t>
  </si>
  <si>
    <t>ASN0003229</t>
  </si>
  <si>
    <t>SD ELEMENTS AKS 2025.3.4 PROD CORP</t>
  </si>
  <si>
    <t>ASN0016519</t>
  </si>
  <si>
    <t>OCR SERVICES EASE 1.0 PROD</t>
  </si>
  <si>
    <t>ASN0000191</t>
  </si>
  <si>
    <t>Mahananda Jadhav</t>
  </si>
  <si>
    <t>MICROSOFT BITLOCKER ADMINISTRATION AND MONITORING 8.1 PROD</t>
  </si>
  <si>
    <t>ASN0000342</t>
  </si>
  <si>
    <t>Marius Costea</t>
  </si>
  <si>
    <t>Azure Information Protection Scanner 1.0.0 PROD</t>
  </si>
  <si>
    <t>ASN0000938</t>
  </si>
  <si>
    <t>Stealthaudit(Stealthaudit) 9.0 PROD</t>
  </si>
  <si>
    <t>ASN0010237</t>
  </si>
  <si>
    <t>CORP Secure Media eXchange (SMX) 202.3 PROD CORP</t>
  </si>
  <si>
    <t>ASN0018889</t>
  </si>
  <si>
    <t>Mircea Diaconu</t>
  </si>
  <si>
    <t>CORP Secure Remote Access 6.8 PROD CORP</t>
  </si>
  <si>
    <t>ASN0018891</t>
  </si>
  <si>
    <t>SERIAL NUMBERING SYSTEM CT13 1.0 PROD BA</t>
  </si>
  <si>
    <t>ASN0000399</t>
  </si>
  <si>
    <t>SIPLACE MX0H 3.3.0.3 PROD BA</t>
  </si>
  <si>
    <t>ASN0001412</t>
  </si>
  <si>
    <t>SERIAL NUMBERING SYSTEM 1.0 PROD</t>
  </si>
  <si>
    <t>ASN0001588</t>
  </si>
  <si>
    <t>TUFIN 14.2 PROD</t>
  </si>
  <si>
    <t>ASN0003079</t>
  </si>
  <si>
    <t>Mukesh Saseendran</t>
  </si>
  <si>
    <t>OT &amp; IoT Security (Cyber Insights) NA PROD CORP</t>
  </si>
  <si>
    <t>ASN0014434</t>
  </si>
  <si>
    <t>Stacks Discovery 1.1 PROD PT</t>
  </si>
  <si>
    <t>ASN0017556</t>
  </si>
  <si>
    <t>Nathan Blackwell</t>
  </si>
  <si>
    <t>SAP GTS (ETP) 7.5 PROD</t>
  </si>
  <si>
    <t>ASN0002442</t>
  </si>
  <si>
    <t>Nitin Kulkarni</t>
  </si>
  <si>
    <t>ECHARGE - HBT_SPS 2007 PROD</t>
  </si>
  <si>
    <t>ASN0000666</t>
  </si>
  <si>
    <t>Prabhakar Mathiyazhagan</t>
  </si>
  <si>
    <t>2026-7-20</t>
  </si>
  <si>
    <t>IDENTITA - BRNO - CZE 4.0 PROD</t>
  </si>
  <si>
    <t>ASN0001005</t>
  </si>
  <si>
    <t>2026-7-22</t>
  </si>
  <si>
    <t>BODET KELIO - ALGERIA, MOROCCO &amp; TUNISIA 4.6.2 PROD</t>
  </si>
  <si>
    <t>ASN0002731</t>
  </si>
  <si>
    <t>NA PAYROLL - REVEAL REPORTING 8.3 PROD</t>
  </si>
  <si>
    <t>ASN0003272</t>
  </si>
  <si>
    <t>BODET KELIO 4.2 PROD PA</t>
  </si>
  <si>
    <t>ASN0014125</t>
  </si>
  <si>
    <t>Corp LDAP Directory Service Prod 7.3.7 PROD</t>
  </si>
  <si>
    <t>ASN0000226</t>
  </si>
  <si>
    <t>Prabhakaran Manoharan</t>
  </si>
  <si>
    <t>SSO FEDERATION SERVICE - Ping Admin - China 10.x PROD CORP</t>
  </si>
  <si>
    <t>ASN0014000</t>
  </si>
  <si>
    <t>SSO FEDERATION SERVICE - Ping Runtime - CHINA 10.x PROD CORP</t>
  </si>
  <si>
    <t>ASN0014024</t>
  </si>
  <si>
    <t>AME Part Number System  PROD</t>
  </si>
  <si>
    <t>ASN0009028</t>
  </si>
  <si>
    <t>Prasanna N Kulkarni</t>
  </si>
  <si>
    <t>SAP BI (BWP) 7.3 PROD</t>
  </si>
  <si>
    <t>ASN0000816</t>
  </si>
  <si>
    <t>Prashobh Puthucheri</t>
  </si>
  <si>
    <t>SAP ANALYTICS 7.4 PROD PT</t>
  </si>
  <si>
    <t>ASN0001284</t>
  </si>
  <si>
    <t>SAP HANA ECC 6.0 PROD PT</t>
  </si>
  <si>
    <t>ASN0001444</t>
  </si>
  <si>
    <t>ENTERPRISE BO (ABP) 4.3 PROD</t>
  </si>
  <si>
    <t>ASN0001932</t>
  </si>
  <si>
    <t>SAP HANA 1.0 PROD CORP</t>
  </si>
  <si>
    <t>ASN0002093</t>
  </si>
  <si>
    <t>ENTERPRISE BODS 4.2 PROD CORP</t>
  </si>
  <si>
    <t>ASN0002341</t>
  </si>
  <si>
    <t>Alteryx 2024.1 PROD</t>
  </si>
  <si>
    <t>ASN0002628</t>
  </si>
  <si>
    <t>SAP ANALYTICS 7.31 PROD PT</t>
  </si>
  <si>
    <t>ASN0003113</t>
  </si>
  <si>
    <t>BW PREPROCESSOR 7.3 PROD</t>
  </si>
  <si>
    <t>ASN0003259</t>
  </si>
  <si>
    <t>SAP SCM APO (CAP) PMT PROD</t>
  </si>
  <si>
    <t>ASN0000137</t>
  </si>
  <si>
    <t>Purnachander Bekkanti</t>
  </si>
  <si>
    <t>BUSINESS FORECAST PRO TRAC 7 PROD</t>
  </si>
  <si>
    <t>ASN0000282</t>
  </si>
  <si>
    <t>SAP SCM APO  (BAP) HBT/SPS PROD</t>
  </si>
  <si>
    <t>ASN0000453</t>
  </si>
  <si>
    <t>Multi-factor Authentication SafeNet SaaS PROD CORP</t>
  </si>
  <si>
    <t>ASN0002744</t>
  </si>
  <si>
    <t>Qamar Peer Bellary Sadiq</t>
  </si>
  <si>
    <t>Certificate Lifecycle Management Prod</t>
  </si>
  <si>
    <t>ASN0013242</t>
  </si>
  <si>
    <t>HCE CUSTOMER OPS L&amp;M 1.0 PROD</t>
  </si>
  <si>
    <t>ASN0001103</t>
  </si>
  <si>
    <t>Rajasekhar Gundu</t>
  </si>
  <si>
    <t>Rockwell FIIX  SaaS  V6 PROD - BA and IA</t>
  </si>
  <si>
    <t>ASN0001060</t>
  </si>
  <si>
    <t>Rajesh Keer</t>
  </si>
  <si>
    <t>MERIDIUM 5.2 PROD</t>
  </si>
  <si>
    <t>ASN0003089</t>
  </si>
  <si>
    <t>EXPERT SYSTEMS 1.0 PROD PT</t>
  </si>
  <si>
    <t>ASN0002730</t>
  </si>
  <si>
    <t>Ramsantosh Ch</t>
  </si>
  <si>
    <t>MOVEIT 15.1.6.51 PROD CORP</t>
  </si>
  <si>
    <t>ASN0000833</t>
  </si>
  <si>
    <t>Ranjini P</t>
  </si>
  <si>
    <t>SAP PO 7.5 (BIP) PROD</t>
  </si>
  <si>
    <t>ASN0001420</t>
  </si>
  <si>
    <t>ACCELLION 8.3.0 PROD</t>
  </si>
  <si>
    <t>ASN0002360</t>
  </si>
  <si>
    <t>DOCUMENTUM XPLAN 25.4 PROD</t>
  </si>
  <si>
    <t>ASN0002741</t>
  </si>
  <si>
    <t>SAP GRC 12.0 PROD</t>
  </si>
  <si>
    <t>ASN0001981</t>
  </si>
  <si>
    <t>Rashmi Garg</t>
  </si>
  <si>
    <t>Microsiga PROD</t>
  </si>
  <si>
    <t>ASN0001080</t>
  </si>
  <si>
    <t>Rodrigo Lanseros</t>
  </si>
  <si>
    <t>DRIMCO DRIM HPS R11 PROD CORP</t>
  </si>
  <si>
    <t>ASN0019652</t>
  </si>
  <si>
    <t>Roshan Mathew</t>
  </si>
  <si>
    <t>DRIMCO DRIM HBS R11 PROD CORP</t>
  </si>
  <si>
    <t>ASN0019654</t>
  </si>
  <si>
    <t>SIEMENS POLARION HPS 2410 PROD CORP</t>
  </si>
  <si>
    <t>ASN0019656</t>
  </si>
  <si>
    <t>SIEMENS POLARION IGS 2410 PROD CORP</t>
  </si>
  <si>
    <t>ASN0019658</t>
  </si>
  <si>
    <t>DRIMCO DRIM UOP R11 PROD CORP</t>
  </si>
  <si>
    <t>ASN0019660</t>
  </si>
  <si>
    <t>SIEMENS POLARION HBS 2410 PROD CORP</t>
  </si>
  <si>
    <t>ASN0019662</t>
  </si>
  <si>
    <t>SIEMENS POLARION UOP 2410 PROD CORP</t>
  </si>
  <si>
    <t>ASN0019664</t>
  </si>
  <si>
    <t>DRIMCO DRIM IGS R11 PROD CORP</t>
  </si>
  <si>
    <t>ASN0019666</t>
  </si>
  <si>
    <t>SAGE CRM SALESLOGIX 7.5.1 PROD PA</t>
  </si>
  <si>
    <t>ASN0001688</t>
  </si>
  <si>
    <t>Rupa Mahasamudram</t>
  </si>
  <si>
    <t>ENTERPRISE BUILDING INTEGRATOR (EBI) 1.0 PROD</t>
  </si>
  <si>
    <t>ASN0000710</t>
  </si>
  <si>
    <t>Sanju Puttaswamy</t>
  </si>
  <si>
    <t>Signify Lighting Management 1.0 PROD CORP</t>
  </si>
  <si>
    <t>ASN0007842</t>
  </si>
  <si>
    <t>SBI Badge and Canteen system 5.6 PROD PMT</t>
  </si>
  <si>
    <t>ASN0008219</t>
  </si>
  <si>
    <t>SAP WEB CHANNEL release 750 SP 3 PROD</t>
  </si>
  <si>
    <t>ASN0007150</t>
  </si>
  <si>
    <t>Sateesh Chandala</t>
  </si>
  <si>
    <t>KROMSCHROEDER ECOMMERCE SAP NW 7.4 portal with SAP eComm Applica PROD IA</t>
  </si>
  <si>
    <t>ASN0013332</t>
  </si>
  <si>
    <t>ACCOLADE SOPHEON 17.2 PROD CORP</t>
  </si>
  <si>
    <t>ASN0002181</t>
  </si>
  <si>
    <t>Seema Dhawan</t>
  </si>
  <si>
    <t>PRIMAVERA 23.12 PROD IA</t>
  </si>
  <si>
    <t>ASN0003254</t>
  </si>
  <si>
    <t>Shankar Sengamalan</t>
  </si>
  <si>
    <t>2026-7-30</t>
  </si>
  <si>
    <t>PRIMAVERA 23.12 PROD PT</t>
  </si>
  <si>
    <t>ASN0019720</t>
  </si>
  <si>
    <t>2026-7-14</t>
  </si>
  <si>
    <t>CH3U FLUX WMS 6.1.0 PROD</t>
  </si>
  <si>
    <t>ASN0002398</t>
  </si>
  <si>
    <t>Sheetu Luthra</t>
  </si>
  <si>
    <t>GE4U Elastic Search Lotte</t>
  </si>
  <si>
    <t>ASN0007976</t>
  </si>
  <si>
    <t>PRANALI LOGISTICS 1.2.1 PROD IA</t>
  </si>
  <si>
    <t>ASN0008632</t>
  </si>
  <si>
    <t>Google Zero Touch V1 V1 QA IA</t>
  </si>
  <si>
    <t>ASN0016401</t>
  </si>
  <si>
    <t>RPA - AUTOMATION ANYWHERE A360 PROD CORP</t>
  </si>
  <si>
    <t>ASN0012525</t>
  </si>
  <si>
    <t>Shilpa P R</t>
  </si>
  <si>
    <t>PMTISCLIMS 8.7.2</t>
  </si>
  <si>
    <t>ASN0000296</t>
  </si>
  <si>
    <t>Somasundara Barathi</t>
  </si>
  <si>
    <t>PMTISCLIMS UTILITIES 8.7.2 PROD</t>
  </si>
  <si>
    <t>ASN0000297</t>
  </si>
  <si>
    <t>R&amp;D LABVANTAGE LIMS 8.7.2 PROD</t>
  </si>
  <si>
    <t>ASN0001290</t>
  </si>
  <si>
    <t>UOP R&amp;D LIMS UTILITIES 8.7.2 PROD</t>
  </si>
  <si>
    <t>ASN0002501</t>
  </si>
  <si>
    <t>WINSHUTTLE V25.02 PROD CORP</t>
  </si>
  <si>
    <t>ASN0003265</t>
  </si>
  <si>
    <t>Sonali Dhiman</t>
  </si>
  <si>
    <t>Oracle Enterprise Manager 13.5 PROD</t>
  </si>
  <si>
    <t>ASN0010266</t>
  </si>
  <si>
    <t>Sourabh Kulkarni</t>
  </si>
  <si>
    <t>EPLAN 2. X PROD</t>
  </si>
  <si>
    <t>ASN0001677</t>
  </si>
  <si>
    <t>Sreekanth Guntaka</t>
  </si>
  <si>
    <t>SIEMENS EDA EXPEDITION ENTERPRISE SUITE 2.14.1 PROD CORP</t>
  </si>
  <si>
    <t>ASN0013909</t>
  </si>
  <si>
    <t>CXO 6.4.0 PROD</t>
  </si>
  <si>
    <t>ASN0001353</t>
  </si>
  <si>
    <t>Stephen Stelmack</t>
  </si>
  <si>
    <t>HYPERION HFM 11.2 PROD(HYPERION HFM 11.2 PROD) 11.2 PROD</t>
  </si>
  <si>
    <t>ASN0007958</t>
  </si>
  <si>
    <t>HYPERION PLANNING 11.2 PROD 11.2.0.0.0 PROD</t>
  </si>
  <si>
    <t>ASN0010073</t>
  </si>
  <si>
    <t>PERFORCE 1.0 PROD SPS</t>
  </si>
  <si>
    <t>ASN0008995</t>
  </si>
  <si>
    <t>Stephen Swindley</t>
  </si>
  <si>
    <t>ERP INFRA 4.2 PROD CORP</t>
  </si>
  <si>
    <t>ASN0015713</t>
  </si>
  <si>
    <t>Sumanth Nemani</t>
  </si>
  <si>
    <t>Babtec CAQ 7.2 PROD PMT</t>
  </si>
  <si>
    <t>ASN0000875</t>
  </si>
  <si>
    <t>Sunil Kawachale</t>
  </si>
  <si>
    <t>Sonic Wall Network Security Manager NSM-22 PROD BA</t>
  </si>
  <si>
    <t>ASN0013667</t>
  </si>
  <si>
    <t>Suresh V.</t>
  </si>
  <si>
    <t>GOLD  Standard PLM - PROD</t>
  </si>
  <si>
    <t>ASN0000718</t>
  </si>
  <si>
    <t>Thiruvarasan Palaniappan</t>
  </si>
  <si>
    <t>PTC-WINDCHILL 10.1.030 PROD BA</t>
  </si>
  <si>
    <t>ASN0002963</t>
  </si>
  <si>
    <t>TEAMCENTER 1.0 PROD</t>
  </si>
  <si>
    <t>ASN0003020</t>
  </si>
  <si>
    <t>Aero Teamcenter AECS (Lite)</t>
  </si>
  <si>
    <t>ASN0013517</t>
  </si>
  <si>
    <t>Splunk EC PROD</t>
  </si>
  <si>
    <t>ASN0010585</t>
  </si>
  <si>
    <t>Vasandha Kumar Sugumar</t>
  </si>
  <si>
    <t>Splunk PROD</t>
  </si>
  <si>
    <t>ASN0013671</t>
  </si>
  <si>
    <t>HAIL PIT Compliance Tool(HAIL PIT Compliance Tool) 1.0 PROD</t>
  </si>
  <si>
    <t>ASN0010049</t>
  </si>
  <si>
    <t>Venkatakrishnan Nagasubramanian</t>
  </si>
  <si>
    <t>ProWatch 5.0.0. 12370 PROD</t>
  </si>
  <si>
    <t>ASN0002479</t>
  </si>
  <si>
    <t>Venkatesh Viswanathan</t>
  </si>
  <si>
    <t>EHC VRA   8.8 PROD</t>
  </si>
  <si>
    <t>ASN0002019</t>
  </si>
  <si>
    <t>Venkatraman Lakshminarayanan</t>
  </si>
  <si>
    <t>Huo Zun Online Learning System 3.0 PROD SPS</t>
  </si>
  <si>
    <t>ASN0015210</t>
  </si>
  <si>
    <t>Vikram P B</t>
  </si>
  <si>
    <t>HONEYWELL PORTAL HEADLESS ARCHITECTURE 1.0 PROD CORP</t>
  </si>
  <si>
    <t>ASN0016213</t>
  </si>
  <si>
    <t>TAXWARE 6.0 PROD PT</t>
  </si>
  <si>
    <t>ASN0000126</t>
  </si>
  <si>
    <t>Vikram Shamkumar</t>
  </si>
  <si>
    <t>KOFAX CAPTURE AND KTM 10.2 PROD</t>
  </si>
  <si>
    <t>ASN0000507</t>
  </si>
  <si>
    <t>TAXWARE - CORP 6 PROD</t>
  </si>
  <si>
    <t>ASN0001052</t>
  </si>
  <si>
    <t>TAXWARE ENTERPRISE 8.4 PROD</t>
  </si>
  <si>
    <t>ASN0001194</t>
  </si>
  <si>
    <t>VERTEX O SERIES - INTELLIGRATED 9.0.3.2.10 PROD</t>
  </si>
  <si>
    <t>ASN0001830</t>
  </si>
  <si>
    <t>AUTOBANKING 2.4 PROD</t>
  </si>
  <si>
    <t>ASN0006416</t>
  </si>
  <si>
    <t>Mendix Platform Pricing Funnel 10.18 PROD CORP</t>
  </si>
  <si>
    <t>ASN0020259</t>
  </si>
  <si>
    <t>Vineeth K</t>
  </si>
  <si>
    <t>CHEF - PROD</t>
  </si>
  <si>
    <t>ASN0002698</t>
  </si>
  <si>
    <t>Vivek H K</t>
  </si>
  <si>
    <t>CHEF DFARS PROD CORP</t>
  </si>
  <si>
    <t>ASN0017306</t>
  </si>
  <si>
    <t>ENTERPRISE AI/ML PLATFORM PRICE DESK 1.0 PROD CORP</t>
  </si>
  <si>
    <t>ASN0020263</t>
  </si>
  <si>
    <t>VSB Sankar Gade</t>
  </si>
  <si>
    <t>E-leave System for Front Line Employee 1.0 PROD</t>
  </si>
  <si>
    <t>ASN0002682</t>
  </si>
  <si>
    <t>Wutao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</si>
</sst>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2"/>
      <color rgb="FF1E462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4620"/>
        <bgColor rgb="FF1E462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5" fontId="4" fillId="3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4">
    <dxf>
      <font>
        <color rgb="FF843C0C"/>
      </font>
      <fill>
        <patternFill patternType="solid">
          <fgColor rgb="FFFCE4D6"/>
          <bgColor rgb="FFFCE4D6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ECF7-1E80-44C5-B630-F88C50B6DF27}">
  <dimension ref="A1:Q499"/>
  <sheetViews>
    <sheetView tabSelected="1" workbookViewId="0">
      <selection activeCell="K10" sqref="K10"/>
    </sheetView>
  </sheetViews>
  <sheetFormatPr defaultRowHeight="14.4" x14ac:dyDescent="0.3"/>
  <cols>
    <col min="1" max="1" width="5" customWidth="1"/>
    <col min="2" max="2" width="26.77734375" customWidth="1"/>
    <col min="3" max="3" width="21.33203125" customWidth="1"/>
    <col min="4" max="4" width="13.21875" customWidth="1"/>
    <col min="5" max="5" width="27.5546875" customWidth="1"/>
    <col min="6" max="6" width="24" customWidth="1"/>
    <col min="7" max="7" width="15.5546875" customWidth="1"/>
    <col min="8" max="8" width="16" customWidth="1"/>
    <col min="9" max="9" width="14" customWidth="1"/>
    <col min="10" max="10" width="24.33203125" customWidth="1"/>
    <col min="11" max="11" width="21.5546875" customWidth="1"/>
    <col min="13" max="13" width="22" customWidth="1"/>
    <col min="14" max="14" width="12" customWidth="1"/>
    <col min="15" max="16" width="16" customWidth="1"/>
    <col min="17" max="17" width="12" customWidth="1"/>
  </cols>
  <sheetData>
    <row r="1" spans="1:17" ht="39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6" t="s">
        <v>11</v>
      </c>
      <c r="N1" s="17"/>
      <c r="O1" s="17"/>
    </row>
    <row r="2" spans="1:17" ht="21.9" customHeight="1" x14ac:dyDescent="0.3">
      <c r="A2">
        <f t="shared" ref="A2:A65" si="0">IF(B2="","",ROW()-1)</f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s="2"/>
      <c r="J2" t="s">
        <v>17</v>
      </c>
      <c r="K2" s="2">
        <v>45959</v>
      </c>
      <c r="M2" s="3" t="s">
        <v>18</v>
      </c>
      <c r="N2" s="4">
        <f>COUNTA(B:B)-1</f>
        <v>187</v>
      </c>
    </row>
    <row r="3" spans="1:17" ht="21.9" customHeight="1" x14ac:dyDescent="0.3">
      <c r="A3">
        <f t="shared" si="0"/>
        <v>2</v>
      </c>
      <c r="B3" t="s">
        <v>19</v>
      </c>
      <c r="C3" t="s">
        <v>20</v>
      </c>
      <c r="D3" t="s">
        <v>14</v>
      </c>
      <c r="E3" t="s">
        <v>15</v>
      </c>
      <c r="F3" t="s">
        <v>16</v>
      </c>
      <c r="H3" s="2"/>
      <c r="J3" t="s">
        <v>17</v>
      </c>
      <c r="K3" s="2">
        <v>46134</v>
      </c>
      <c r="M3" s="3" t="s">
        <v>17</v>
      </c>
      <c r="N3" s="4">
        <f>COUNTIF(J:J,"Compliant")</f>
        <v>153</v>
      </c>
    </row>
    <row r="4" spans="1:17" ht="21.9" customHeight="1" x14ac:dyDescent="0.3">
      <c r="A4">
        <f t="shared" si="0"/>
        <v>3</v>
      </c>
      <c r="B4" t="s">
        <v>21</v>
      </c>
      <c r="C4" t="s">
        <v>22</v>
      </c>
      <c r="D4" t="s">
        <v>23</v>
      </c>
      <c r="E4" t="s">
        <v>15</v>
      </c>
      <c r="F4" t="s">
        <v>16</v>
      </c>
      <c r="H4" s="2"/>
      <c r="J4" t="s">
        <v>17</v>
      </c>
      <c r="K4" s="2">
        <v>46112</v>
      </c>
      <c r="M4" s="3" t="s">
        <v>24</v>
      </c>
      <c r="N4" s="4">
        <f>COUNTIF(J:J,"Non-Compliant")</f>
        <v>34</v>
      </c>
    </row>
    <row r="5" spans="1:17" ht="21.9" customHeight="1" x14ac:dyDescent="0.3">
      <c r="A5">
        <f t="shared" si="0"/>
        <v>4</v>
      </c>
      <c r="B5" t="s">
        <v>25</v>
      </c>
      <c r="C5" t="s">
        <v>26</v>
      </c>
      <c r="D5" t="s">
        <v>23</v>
      </c>
      <c r="E5" t="s">
        <v>15</v>
      </c>
      <c r="F5" t="s">
        <v>16</v>
      </c>
      <c r="H5" s="2"/>
      <c r="J5" t="s">
        <v>17</v>
      </c>
      <c r="K5" s="2">
        <v>46134</v>
      </c>
      <c r="M5" s="3" t="s">
        <v>27</v>
      </c>
      <c r="N5" s="4">
        <f>COUNTIF(J:J,"Pending")</f>
        <v>0</v>
      </c>
    </row>
    <row r="6" spans="1:17" ht="21.9" customHeight="1" x14ac:dyDescent="0.3">
      <c r="A6">
        <f t="shared" si="0"/>
        <v>5</v>
      </c>
      <c r="B6" t="s">
        <v>28</v>
      </c>
      <c r="C6" t="s">
        <v>29</v>
      </c>
      <c r="D6" t="s">
        <v>23</v>
      </c>
      <c r="E6" t="s">
        <v>15</v>
      </c>
      <c r="H6" s="2"/>
      <c r="J6" t="s">
        <v>17</v>
      </c>
      <c r="K6" s="2">
        <v>46134</v>
      </c>
      <c r="M6" s="3" t="s">
        <v>30</v>
      </c>
      <c r="N6" s="4">
        <f>COUNTIF(J:J,"Under Review")</f>
        <v>0</v>
      </c>
    </row>
    <row r="7" spans="1:17" ht="21.9" customHeight="1" x14ac:dyDescent="0.3">
      <c r="A7">
        <f t="shared" si="0"/>
        <v>6</v>
      </c>
      <c r="B7" t="s">
        <v>31</v>
      </c>
      <c r="C7" t="s">
        <v>32</v>
      </c>
      <c r="D7" t="s">
        <v>23</v>
      </c>
      <c r="E7" t="s">
        <v>15</v>
      </c>
      <c r="H7" s="2"/>
      <c r="J7" t="s">
        <v>17</v>
      </c>
      <c r="K7" s="2">
        <v>46112</v>
      </c>
      <c r="M7" s="3" t="s">
        <v>33</v>
      </c>
      <c r="N7" s="5">
        <f>IFERROR(COUNTIF(J:J,"Compliant")/(COUNTA(B:B)-1),0)</f>
        <v>0.81818181818181823</v>
      </c>
    </row>
    <row r="8" spans="1:17" x14ac:dyDescent="0.3">
      <c r="A8">
        <f t="shared" si="0"/>
        <v>7</v>
      </c>
      <c r="B8" t="s">
        <v>34</v>
      </c>
      <c r="C8" t="s">
        <v>35</v>
      </c>
      <c r="D8" t="s">
        <v>23</v>
      </c>
      <c r="E8" t="s">
        <v>36</v>
      </c>
      <c r="F8" t="s">
        <v>37</v>
      </c>
      <c r="H8" s="2"/>
      <c r="J8" t="s">
        <v>17</v>
      </c>
      <c r="K8" s="2">
        <v>45700</v>
      </c>
    </row>
    <row r="9" spans="1:17" ht="21.9" customHeight="1" x14ac:dyDescent="0.3">
      <c r="A9">
        <f t="shared" si="0"/>
        <v>8</v>
      </c>
      <c r="B9" t="s">
        <v>38</v>
      </c>
      <c r="C9" t="s">
        <v>39</v>
      </c>
      <c r="D9" t="s">
        <v>23</v>
      </c>
      <c r="E9" t="s">
        <v>40</v>
      </c>
      <c r="F9" t="s">
        <v>41</v>
      </c>
      <c r="H9" s="2"/>
      <c r="J9" t="s">
        <v>17</v>
      </c>
      <c r="K9" s="2">
        <v>46244</v>
      </c>
      <c r="M9" s="6" t="s">
        <v>3</v>
      </c>
      <c r="N9" s="6" t="s">
        <v>42</v>
      </c>
      <c r="O9" s="6" t="s">
        <v>17</v>
      </c>
      <c r="P9" s="6" t="s">
        <v>24</v>
      </c>
      <c r="Q9" s="6" t="s">
        <v>33</v>
      </c>
    </row>
    <row r="10" spans="1:17" ht="20.100000000000001" customHeight="1" x14ac:dyDescent="0.3">
      <c r="A10">
        <f t="shared" si="0"/>
        <v>9</v>
      </c>
      <c r="B10" t="s">
        <v>43</v>
      </c>
      <c r="C10" t="s">
        <v>44</v>
      </c>
      <c r="D10" t="s">
        <v>23</v>
      </c>
      <c r="E10" t="s">
        <v>40</v>
      </c>
      <c r="F10" t="s">
        <v>45</v>
      </c>
      <c r="H10" s="2"/>
      <c r="J10" t="s">
        <v>17</v>
      </c>
      <c r="K10" s="2">
        <v>46242</v>
      </c>
      <c r="M10" s="7" t="s">
        <v>46</v>
      </c>
      <c r="N10" s="8">
        <f>COUNTIF(D:D,"AERO")</f>
        <v>0</v>
      </c>
      <c r="O10" s="8">
        <f>COUNTIFS(D:D,"AERO",J:J,"Compliant")</f>
        <v>0</v>
      </c>
      <c r="P10" s="8">
        <f>COUNTIFS(D:D,"AERO",J:J,"Non-Compliant")</f>
        <v>0</v>
      </c>
      <c r="Q10" s="9">
        <f t="shared" ref="Q10:Q17" si="1">IFERROR(O10/N10,0)</f>
        <v>0</v>
      </c>
    </row>
    <row r="11" spans="1:17" ht="13.5" customHeight="1" x14ac:dyDescent="0.3">
      <c r="A11">
        <f t="shared" si="0"/>
        <v>10</v>
      </c>
      <c r="B11" t="s">
        <v>47</v>
      </c>
      <c r="C11" t="s">
        <v>48</v>
      </c>
      <c r="D11" t="s">
        <v>23</v>
      </c>
      <c r="E11" t="s">
        <v>40</v>
      </c>
      <c r="F11" t="s">
        <v>41</v>
      </c>
      <c r="H11" s="2"/>
      <c r="J11" t="s">
        <v>24</v>
      </c>
      <c r="K11" s="2"/>
      <c r="M11" s="13" t="s">
        <v>49</v>
      </c>
      <c r="N11" s="14">
        <f>COUNTIF(D:D,"PA")</f>
        <v>5</v>
      </c>
      <c r="O11" s="14">
        <f>COUNTIFS(D:D,"PA",J:J,"Compliant")</f>
        <v>4</v>
      </c>
      <c r="P11" s="14">
        <f>COUNTIFS(D:D,"PA",J:J,"Non-Compliant")</f>
        <v>1</v>
      </c>
      <c r="Q11" s="15">
        <f t="shared" si="1"/>
        <v>0.8</v>
      </c>
    </row>
    <row r="12" spans="1:17" x14ac:dyDescent="0.3">
      <c r="A12">
        <f t="shared" si="0"/>
        <v>11</v>
      </c>
      <c r="B12" t="s">
        <v>50</v>
      </c>
      <c r="C12" t="s">
        <v>51</v>
      </c>
      <c r="D12" t="s">
        <v>23</v>
      </c>
      <c r="E12" t="s">
        <v>52</v>
      </c>
      <c r="H12" s="2"/>
      <c r="J12" t="s">
        <v>24</v>
      </c>
      <c r="K12" s="2"/>
      <c r="M12" s="13"/>
      <c r="N12" s="14"/>
      <c r="O12" s="14"/>
      <c r="P12" s="14"/>
      <c r="Q12" s="15"/>
    </row>
    <row r="13" spans="1:17" ht="20.100000000000001" customHeight="1" x14ac:dyDescent="0.3">
      <c r="A13">
        <f t="shared" si="0"/>
        <v>12</v>
      </c>
      <c r="B13" t="s">
        <v>53</v>
      </c>
      <c r="C13" t="s">
        <v>54</v>
      </c>
      <c r="D13" t="s">
        <v>23</v>
      </c>
      <c r="E13" t="s">
        <v>52</v>
      </c>
      <c r="F13" t="s">
        <v>45</v>
      </c>
      <c r="H13" s="2"/>
      <c r="J13" t="s">
        <v>17</v>
      </c>
      <c r="K13" s="2">
        <v>46182</v>
      </c>
      <c r="M13" s="7" t="s">
        <v>55</v>
      </c>
      <c r="N13" s="8">
        <f>COUNTIF(D:D,"PT")</f>
        <v>19</v>
      </c>
      <c r="O13" s="8">
        <f>COUNTIFS(D:D,"PT",J:J,"Compliant")</f>
        <v>15</v>
      </c>
      <c r="P13" s="8">
        <f>COUNTIFS(D:D,"PT",J:J,"Non-Compliant")</f>
        <v>4</v>
      </c>
      <c r="Q13" s="9">
        <f t="shared" si="1"/>
        <v>0.78947368421052633</v>
      </c>
    </row>
    <row r="14" spans="1:17" x14ac:dyDescent="0.3">
      <c r="A14">
        <f t="shared" si="0"/>
        <v>13</v>
      </c>
      <c r="B14" t="s">
        <v>56</v>
      </c>
      <c r="C14" t="s">
        <v>57</v>
      </c>
      <c r="D14" t="s">
        <v>23</v>
      </c>
      <c r="E14" t="s">
        <v>52</v>
      </c>
      <c r="H14" s="2"/>
      <c r="J14" t="s">
        <v>17</v>
      </c>
      <c r="K14" s="2"/>
      <c r="M14" s="13" t="s">
        <v>58</v>
      </c>
      <c r="N14" s="14">
        <f>COUNTIF(D:D,"BA")</f>
        <v>14</v>
      </c>
      <c r="O14" s="14">
        <f>COUNTIFS(D:D,"BA",J:J,"Compliant")</f>
        <v>12</v>
      </c>
      <c r="P14" s="14">
        <f>COUNTIFS(D:D,"BA",J:J,"Non-Compliant")</f>
        <v>2</v>
      </c>
      <c r="Q14" s="15">
        <f>IFERROR(O14/N14,0)</f>
        <v>0.8571428571428571</v>
      </c>
    </row>
    <row r="15" spans="1:17" ht="18" customHeight="1" x14ac:dyDescent="0.3">
      <c r="A15">
        <f t="shared" si="0"/>
        <v>14</v>
      </c>
      <c r="B15" t="s">
        <v>59</v>
      </c>
      <c r="C15" t="s">
        <v>60</v>
      </c>
      <c r="D15" t="s">
        <v>23</v>
      </c>
      <c r="E15" t="s">
        <v>52</v>
      </c>
      <c r="F15" t="s">
        <v>45</v>
      </c>
      <c r="H15" s="2"/>
      <c r="J15" t="s">
        <v>17</v>
      </c>
      <c r="K15" s="2">
        <v>45461</v>
      </c>
      <c r="M15" s="13"/>
      <c r="N15" s="14"/>
      <c r="O15" s="14"/>
      <c r="P15" s="14"/>
      <c r="Q15" s="15"/>
    </row>
    <row r="16" spans="1:17" ht="20.100000000000001" customHeight="1" x14ac:dyDescent="0.3">
      <c r="A16">
        <f t="shared" si="0"/>
        <v>15</v>
      </c>
      <c r="B16" t="s">
        <v>61</v>
      </c>
      <c r="C16" t="s">
        <v>62</v>
      </c>
      <c r="D16" t="s">
        <v>23</v>
      </c>
      <c r="E16" t="s">
        <v>52</v>
      </c>
      <c r="F16" t="s">
        <v>45</v>
      </c>
      <c r="H16" s="2"/>
      <c r="J16" t="s">
        <v>17</v>
      </c>
      <c r="K16" s="2">
        <v>46183</v>
      </c>
      <c r="M16" s="7" t="s">
        <v>23</v>
      </c>
      <c r="N16" s="8">
        <f>COUNTIF(D:D,"CORP")</f>
        <v>124</v>
      </c>
      <c r="O16" s="8">
        <f>COUNTIFS(D:D,"CORP",J:J,"Compliant")</f>
        <v>99</v>
      </c>
      <c r="P16" s="8">
        <f>COUNTIFS(D:D,"CORP",J:J,"Non-Compliant")</f>
        <v>25</v>
      </c>
      <c r="Q16" s="9">
        <f t="shared" si="1"/>
        <v>0.79838709677419351</v>
      </c>
    </row>
    <row r="17" spans="1:17" ht="20.100000000000001" customHeight="1" x14ac:dyDescent="0.3">
      <c r="A17">
        <f t="shared" si="0"/>
        <v>16</v>
      </c>
      <c r="B17" t="s">
        <v>63</v>
      </c>
      <c r="C17" t="s">
        <v>64</v>
      </c>
      <c r="D17" t="s">
        <v>23</v>
      </c>
      <c r="E17" t="s">
        <v>52</v>
      </c>
      <c r="F17" t="s">
        <v>45</v>
      </c>
      <c r="H17" s="2"/>
      <c r="J17" t="s">
        <v>17</v>
      </c>
      <c r="K17" s="2">
        <v>46183</v>
      </c>
      <c r="M17" s="10" t="s">
        <v>14</v>
      </c>
      <c r="N17" s="11">
        <f>COUNTIF(D:D,"IA")</f>
        <v>25</v>
      </c>
      <c r="O17" s="11">
        <f>COUNTIFS(D:D,"IA",J:J,"Compliant")</f>
        <v>23</v>
      </c>
      <c r="P17" s="11">
        <f>COUNTIFS(D:D,"IA",J:J,"Non-Compliant")</f>
        <v>2</v>
      </c>
      <c r="Q17" s="12">
        <f t="shared" si="1"/>
        <v>0.92</v>
      </c>
    </row>
    <row r="18" spans="1:17" x14ac:dyDescent="0.3">
      <c r="A18">
        <f t="shared" si="0"/>
        <v>17</v>
      </c>
      <c r="B18" t="s">
        <v>65</v>
      </c>
      <c r="C18" t="s">
        <v>66</v>
      </c>
      <c r="D18" t="s">
        <v>23</v>
      </c>
      <c r="E18" t="s">
        <v>52</v>
      </c>
      <c r="F18" t="s">
        <v>45</v>
      </c>
      <c r="H18" s="2"/>
      <c r="J18" t="s">
        <v>17</v>
      </c>
      <c r="K18" s="2">
        <v>46181</v>
      </c>
    </row>
    <row r="19" spans="1:17" x14ac:dyDescent="0.3">
      <c r="A19">
        <f t="shared" si="0"/>
        <v>18</v>
      </c>
      <c r="B19" t="s">
        <v>67</v>
      </c>
      <c r="C19" t="s">
        <v>68</v>
      </c>
      <c r="D19" t="s">
        <v>23</v>
      </c>
      <c r="E19" t="s">
        <v>52</v>
      </c>
      <c r="H19" s="2"/>
      <c r="J19" t="s">
        <v>17</v>
      </c>
      <c r="K19" s="2"/>
    </row>
    <row r="20" spans="1:17" x14ac:dyDescent="0.3">
      <c r="A20">
        <f t="shared" si="0"/>
        <v>19</v>
      </c>
      <c r="B20" t="s">
        <v>69</v>
      </c>
      <c r="C20" t="s">
        <v>70</v>
      </c>
      <c r="D20" t="s">
        <v>23</v>
      </c>
      <c r="E20" t="s">
        <v>52</v>
      </c>
      <c r="F20" t="s">
        <v>45</v>
      </c>
      <c r="H20" s="2"/>
      <c r="J20" t="s">
        <v>17</v>
      </c>
      <c r="K20" s="2"/>
    </row>
    <row r="21" spans="1:17" x14ac:dyDescent="0.3">
      <c r="A21">
        <f t="shared" si="0"/>
        <v>20</v>
      </c>
      <c r="B21" t="s">
        <v>71</v>
      </c>
      <c r="C21" t="s">
        <v>72</v>
      </c>
      <c r="D21" t="s">
        <v>23</v>
      </c>
      <c r="E21" t="s">
        <v>52</v>
      </c>
      <c r="F21" t="s">
        <v>45</v>
      </c>
      <c r="H21" s="2"/>
      <c r="J21" t="s">
        <v>17</v>
      </c>
      <c r="K21" s="2"/>
    </row>
    <row r="22" spans="1:17" x14ac:dyDescent="0.3">
      <c r="A22">
        <f t="shared" si="0"/>
        <v>21</v>
      </c>
      <c r="B22" t="s">
        <v>73</v>
      </c>
      <c r="C22" t="s">
        <v>74</v>
      </c>
      <c r="D22" t="s">
        <v>23</v>
      </c>
      <c r="E22" t="s">
        <v>75</v>
      </c>
      <c r="F22" t="s">
        <v>76</v>
      </c>
      <c r="H22" s="2"/>
      <c r="J22" t="s">
        <v>17</v>
      </c>
      <c r="K22" s="2"/>
    </row>
    <row r="23" spans="1:17" x14ac:dyDescent="0.3">
      <c r="A23">
        <f t="shared" si="0"/>
        <v>22</v>
      </c>
      <c r="B23" t="s">
        <v>77</v>
      </c>
      <c r="C23" t="s">
        <v>78</v>
      </c>
      <c r="D23" t="s">
        <v>14</v>
      </c>
      <c r="E23" t="s">
        <v>79</v>
      </c>
      <c r="H23" s="2"/>
      <c r="J23" t="s">
        <v>17</v>
      </c>
      <c r="K23" s="2"/>
    </row>
    <row r="24" spans="1:17" x14ac:dyDescent="0.3">
      <c r="A24">
        <f t="shared" si="0"/>
        <v>23</v>
      </c>
      <c r="B24" t="s">
        <v>80</v>
      </c>
      <c r="C24" t="s">
        <v>81</v>
      </c>
      <c r="D24" t="s">
        <v>58</v>
      </c>
      <c r="E24" t="s">
        <v>79</v>
      </c>
      <c r="H24" s="2"/>
      <c r="J24" t="s">
        <v>17</v>
      </c>
      <c r="K24" s="2"/>
    </row>
    <row r="25" spans="1:17" x14ac:dyDescent="0.3">
      <c r="A25">
        <f t="shared" si="0"/>
        <v>24</v>
      </c>
      <c r="B25" t="s">
        <v>82</v>
      </c>
      <c r="C25" t="s">
        <v>83</v>
      </c>
      <c r="D25" t="s">
        <v>23</v>
      </c>
      <c r="E25" t="s">
        <v>84</v>
      </c>
      <c r="F25" t="s">
        <v>45</v>
      </c>
      <c r="H25" s="2"/>
      <c r="J25" t="s">
        <v>17</v>
      </c>
      <c r="K25" s="2"/>
    </row>
    <row r="26" spans="1:17" x14ac:dyDescent="0.3">
      <c r="A26">
        <f t="shared" si="0"/>
        <v>25</v>
      </c>
      <c r="B26" t="s">
        <v>85</v>
      </c>
      <c r="C26" t="s">
        <v>86</v>
      </c>
      <c r="D26" t="s">
        <v>23</v>
      </c>
      <c r="E26" t="s">
        <v>87</v>
      </c>
      <c r="F26" t="s">
        <v>41</v>
      </c>
      <c r="H26" s="2"/>
      <c r="J26" t="s">
        <v>17</v>
      </c>
      <c r="K26" s="2"/>
    </row>
    <row r="27" spans="1:17" x14ac:dyDescent="0.3">
      <c r="A27">
        <f t="shared" si="0"/>
        <v>26</v>
      </c>
      <c r="B27" t="s">
        <v>88</v>
      </c>
      <c r="C27" t="s">
        <v>89</v>
      </c>
      <c r="D27" t="s">
        <v>23</v>
      </c>
      <c r="E27" t="s">
        <v>87</v>
      </c>
      <c r="F27" t="s">
        <v>41</v>
      </c>
      <c r="H27" s="2"/>
      <c r="J27" t="s">
        <v>17</v>
      </c>
      <c r="K27" s="2"/>
    </row>
    <row r="28" spans="1:17" x14ac:dyDescent="0.3">
      <c r="A28">
        <f t="shared" si="0"/>
        <v>27</v>
      </c>
      <c r="B28" t="s">
        <v>90</v>
      </c>
      <c r="C28" t="s">
        <v>91</v>
      </c>
      <c r="D28" t="s">
        <v>23</v>
      </c>
      <c r="E28" t="s">
        <v>87</v>
      </c>
      <c r="F28" t="s">
        <v>41</v>
      </c>
      <c r="H28" s="2"/>
      <c r="J28" t="s">
        <v>17</v>
      </c>
      <c r="K28" s="2"/>
    </row>
    <row r="29" spans="1:17" x14ac:dyDescent="0.3">
      <c r="A29">
        <f t="shared" si="0"/>
        <v>28</v>
      </c>
      <c r="B29" t="s">
        <v>92</v>
      </c>
      <c r="C29" t="s">
        <v>93</v>
      </c>
      <c r="D29" t="s">
        <v>23</v>
      </c>
      <c r="E29" t="s">
        <v>94</v>
      </c>
      <c r="F29" t="s">
        <v>76</v>
      </c>
      <c r="H29" s="2"/>
      <c r="J29" t="s">
        <v>24</v>
      </c>
      <c r="K29" s="2"/>
    </row>
    <row r="30" spans="1:17" x14ac:dyDescent="0.3">
      <c r="A30">
        <f t="shared" si="0"/>
        <v>29</v>
      </c>
      <c r="B30" t="s">
        <v>95</v>
      </c>
      <c r="C30" t="s">
        <v>96</v>
      </c>
      <c r="D30" t="s">
        <v>55</v>
      </c>
      <c r="E30" t="s">
        <v>97</v>
      </c>
      <c r="F30" t="s">
        <v>45</v>
      </c>
      <c r="H30" s="2"/>
      <c r="J30" t="s">
        <v>17</v>
      </c>
      <c r="K30" s="2"/>
    </row>
    <row r="31" spans="1:17" x14ac:dyDescent="0.3">
      <c r="A31">
        <f t="shared" si="0"/>
        <v>30</v>
      </c>
      <c r="B31" t="s">
        <v>98</v>
      </c>
      <c r="C31" t="s">
        <v>99</v>
      </c>
      <c r="D31" t="s">
        <v>23</v>
      </c>
      <c r="E31" t="s">
        <v>100</v>
      </c>
      <c r="H31" s="2"/>
      <c r="J31" t="s">
        <v>17</v>
      </c>
      <c r="K31" s="2"/>
    </row>
    <row r="32" spans="1:17" x14ac:dyDescent="0.3">
      <c r="A32">
        <f t="shared" si="0"/>
        <v>31</v>
      </c>
      <c r="B32" t="s">
        <v>101</v>
      </c>
      <c r="C32" t="s">
        <v>102</v>
      </c>
      <c r="D32" t="s">
        <v>23</v>
      </c>
      <c r="E32" t="s">
        <v>100</v>
      </c>
      <c r="H32" s="2"/>
      <c r="J32" t="s">
        <v>17</v>
      </c>
      <c r="K32" s="2"/>
    </row>
    <row r="33" spans="1:11" x14ac:dyDescent="0.3">
      <c r="A33">
        <f t="shared" si="0"/>
        <v>32</v>
      </c>
      <c r="B33" t="s">
        <v>103</v>
      </c>
      <c r="C33" t="s">
        <v>104</v>
      </c>
      <c r="D33" t="s">
        <v>23</v>
      </c>
      <c r="E33" t="s">
        <v>105</v>
      </c>
      <c r="H33" s="2"/>
      <c r="J33" t="s">
        <v>24</v>
      </c>
      <c r="K33" s="2"/>
    </row>
    <row r="34" spans="1:11" x14ac:dyDescent="0.3">
      <c r="A34">
        <f t="shared" si="0"/>
        <v>33</v>
      </c>
      <c r="B34" t="s">
        <v>106</v>
      </c>
      <c r="C34" t="s">
        <v>107</v>
      </c>
      <c r="D34" t="s">
        <v>14</v>
      </c>
      <c r="E34" t="s">
        <v>108</v>
      </c>
      <c r="F34" t="s">
        <v>45</v>
      </c>
      <c r="H34" s="2"/>
      <c r="J34" t="s">
        <v>17</v>
      </c>
      <c r="K34" s="2"/>
    </row>
    <row r="35" spans="1:11" x14ac:dyDescent="0.3">
      <c r="A35">
        <f t="shared" si="0"/>
        <v>34</v>
      </c>
      <c r="B35" t="s">
        <v>109</v>
      </c>
      <c r="C35" t="s">
        <v>110</v>
      </c>
      <c r="D35" t="s">
        <v>14</v>
      </c>
      <c r="E35" t="s">
        <v>108</v>
      </c>
      <c r="F35" t="s">
        <v>45</v>
      </c>
      <c r="H35" s="2"/>
      <c r="J35" t="s">
        <v>17</v>
      </c>
      <c r="K35" s="2"/>
    </row>
    <row r="36" spans="1:11" x14ac:dyDescent="0.3">
      <c r="A36">
        <f t="shared" si="0"/>
        <v>35</v>
      </c>
      <c r="B36" t="s">
        <v>111</v>
      </c>
      <c r="C36" t="s">
        <v>112</v>
      </c>
      <c r="D36" t="s">
        <v>14</v>
      </c>
      <c r="E36" t="s">
        <v>108</v>
      </c>
      <c r="F36" t="s">
        <v>45</v>
      </c>
      <c r="H36" s="2"/>
      <c r="J36" t="s">
        <v>17</v>
      </c>
      <c r="K36" s="2"/>
    </row>
    <row r="37" spans="1:11" x14ac:dyDescent="0.3">
      <c r="A37">
        <f t="shared" si="0"/>
        <v>36</v>
      </c>
      <c r="B37" t="s">
        <v>113</v>
      </c>
      <c r="C37" t="s">
        <v>114</v>
      </c>
      <c r="D37" t="s">
        <v>55</v>
      </c>
      <c r="E37" t="s">
        <v>115</v>
      </c>
      <c r="F37" t="s">
        <v>41</v>
      </c>
      <c r="H37" s="2"/>
      <c r="J37" t="s">
        <v>17</v>
      </c>
      <c r="K37" s="2"/>
    </row>
    <row r="38" spans="1:11" x14ac:dyDescent="0.3">
      <c r="A38">
        <f t="shared" si="0"/>
        <v>37</v>
      </c>
      <c r="B38" t="s">
        <v>116</v>
      </c>
      <c r="C38" t="s">
        <v>117</v>
      </c>
      <c r="D38" t="s">
        <v>55</v>
      </c>
      <c r="E38" t="s">
        <v>115</v>
      </c>
      <c r="F38" t="s">
        <v>118</v>
      </c>
      <c r="H38" s="2"/>
      <c r="J38" t="s">
        <v>17</v>
      </c>
      <c r="K38" s="2"/>
    </row>
    <row r="39" spans="1:11" x14ac:dyDescent="0.3">
      <c r="A39">
        <f t="shared" si="0"/>
        <v>38</v>
      </c>
      <c r="B39" t="s">
        <v>119</v>
      </c>
      <c r="C39" t="s">
        <v>120</v>
      </c>
      <c r="D39" t="s">
        <v>55</v>
      </c>
      <c r="E39" t="s">
        <v>115</v>
      </c>
      <c r="H39" s="2"/>
      <c r="J39" t="s">
        <v>17</v>
      </c>
      <c r="K39" s="2"/>
    </row>
    <row r="40" spans="1:11" x14ac:dyDescent="0.3">
      <c r="A40">
        <f t="shared" si="0"/>
        <v>39</v>
      </c>
      <c r="B40" t="s">
        <v>121</v>
      </c>
      <c r="C40" t="s">
        <v>122</v>
      </c>
      <c r="D40" t="s">
        <v>55</v>
      </c>
      <c r="E40" t="s">
        <v>115</v>
      </c>
      <c r="H40" s="2"/>
      <c r="J40" t="s">
        <v>24</v>
      </c>
      <c r="K40" s="2"/>
    </row>
    <row r="41" spans="1:11" x14ac:dyDescent="0.3">
      <c r="A41">
        <f t="shared" si="0"/>
        <v>40</v>
      </c>
      <c r="B41" t="s">
        <v>123</v>
      </c>
      <c r="C41" t="s">
        <v>124</v>
      </c>
      <c r="D41" t="s">
        <v>23</v>
      </c>
      <c r="E41" t="s">
        <v>125</v>
      </c>
      <c r="F41" t="s">
        <v>45</v>
      </c>
      <c r="H41" s="2"/>
      <c r="J41" t="s">
        <v>17</v>
      </c>
      <c r="K41" s="2"/>
    </row>
    <row r="42" spans="1:11" x14ac:dyDescent="0.3">
      <c r="A42">
        <f t="shared" si="0"/>
        <v>41</v>
      </c>
      <c r="B42" t="s">
        <v>126</v>
      </c>
      <c r="C42" t="s">
        <v>127</v>
      </c>
      <c r="D42" t="s">
        <v>23</v>
      </c>
      <c r="E42" t="s">
        <v>125</v>
      </c>
      <c r="F42" t="s">
        <v>76</v>
      </c>
      <c r="H42" s="2"/>
      <c r="J42" t="s">
        <v>17</v>
      </c>
      <c r="K42" s="2"/>
    </row>
    <row r="43" spans="1:11" x14ac:dyDescent="0.3">
      <c r="A43">
        <f t="shared" si="0"/>
        <v>42</v>
      </c>
      <c r="B43" t="s">
        <v>128</v>
      </c>
      <c r="C43" t="s">
        <v>129</v>
      </c>
      <c r="D43" t="s">
        <v>23</v>
      </c>
      <c r="E43" t="s">
        <v>130</v>
      </c>
      <c r="H43" s="2"/>
      <c r="J43" t="s">
        <v>24</v>
      </c>
      <c r="K43" s="2"/>
    </row>
    <row r="44" spans="1:11" x14ac:dyDescent="0.3">
      <c r="A44">
        <f t="shared" si="0"/>
        <v>43</v>
      </c>
      <c r="B44" t="s">
        <v>131</v>
      </c>
      <c r="C44" t="s">
        <v>132</v>
      </c>
      <c r="D44" t="s">
        <v>23</v>
      </c>
      <c r="E44" t="s">
        <v>133</v>
      </c>
      <c r="H44" s="2"/>
      <c r="J44" t="s">
        <v>24</v>
      </c>
      <c r="K44" s="2"/>
    </row>
    <row r="45" spans="1:11" x14ac:dyDescent="0.3">
      <c r="A45">
        <f t="shared" si="0"/>
        <v>44</v>
      </c>
      <c r="B45" t="s">
        <v>134</v>
      </c>
      <c r="C45" t="s">
        <v>135</v>
      </c>
      <c r="D45" t="s">
        <v>23</v>
      </c>
      <c r="E45" t="s">
        <v>133</v>
      </c>
      <c r="H45" s="2"/>
      <c r="J45" t="s">
        <v>17</v>
      </c>
      <c r="K45" s="2" t="s">
        <v>136</v>
      </c>
    </row>
    <row r="46" spans="1:11" x14ac:dyDescent="0.3">
      <c r="A46">
        <f t="shared" si="0"/>
        <v>45</v>
      </c>
      <c r="B46" t="s">
        <v>137</v>
      </c>
      <c r="C46" t="s">
        <v>138</v>
      </c>
      <c r="D46" t="s">
        <v>23</v>
      </c>
      <c r="E46" t="s">
        <v>133</v>
      </c>
      <c r="H46" s="2"/>
      <c r="J46" t="s">
        <v>17</v>
      </c>
      <c r="K46" s="2" t="s">
        <v>136</v>
      </c>
    </row>
    <row r="47" spans="1:11" x14ac:dyDescent="0.3">
      <c r="A47">
        <f t="shared" si="0"/>
        <v>46</v>
      </c>
      <c r="B47" t="s">
        <v>139</v>
      </c>
      <c r="C47" t="s">
        <v>140</v>
      </c>
      <c r="D47" t="s">
        <v>23</v>
      </c>
      <c r="E47" t="s">
        <v>133</v>
      </c>
      <c r="H47" s="2"/>
      <c r="J47" t="s">
        <v>17</v>
      </c>
      <c r="K47" s="2" t="s">
        <v>136</v>
      </c>
    </row>
    <row r="48" spans="1:11" x14ac:dyDescent="0.3">
      <c r="A48">
        <f t="shared" si="0"/>
        <v>47</v>
      </c>
      <c r="B48" t="s">
        <v>141</v>
      </c>
      <c r="C48" t="s">
        <v>142</v>
      </c>
      <c r="D48" t="s">
        <v>23</v>
      </c>
      <c r="E48" t="s">
        <v>133</v>
      </c>
      <c r="F48" t="s">
        <v>76</v>
      </c>
      <c r="H48" s="2"/>
      <c r="J48" t="s">
        <v>17</v>
      </c>
      <c r="K48" s="2" t="s">
        <v>143</v>
      </c>
    </row>
    <row r="49" spans="1:11" x14ac:dyDescent="0.3">
      <c r="A49">
        <f t="shared" si="0"/>
        <v>48</v>
      </c>
      <c r="B49" t="s">
        <v>144</v>
      </c>
      <c r="C49" t="s">
        <v>145</v>
      </c>
      <c r="D49" t="s">
        <v>23</v>
      </c>
      <c r="E49" t="s">
        <v>133</v>
      </c>
      <c r="F49" t="s">
        <v>45</v>
      </c>
      <c r="H49" s="2"/>
      <c r="J49" t="s">
        <v>17</v>
      </c>
      <c r="K49" s="2" t="s">
        <v>143</v>
      </c>
    </row>
    <row r="50" spans="1:11" x14ac:dyDescent="0.3">
      <c r="A50">
        <f t="shared" si="0"/>
        <v>49</v>
      </c>
      <c r="B50" t="s">
        <v>146</v>
      </c>
      <c r="C50" t="s">
        <v>147</v>
      </c>
      <c r="D50" t="s">
        <v>23</v>
      </c>
      <c r="E50" t="s">
        <v>148</v>
      </c>
      <c r="F50" t="s">
        <v>45</v>
      </c>
      <c r="H50" s="2"/>
      <c r="J50" t="s">
        <v>24</v>
      </c>
      <c r="K50" s="2"/>
    </row>
    <row r="51" spans="1:11" x14ac:dyDescent="0.3">
      <c r="A51">
        <f t="shared" si="0"/>
        <v>50</v>
      </c>
      <c r="B51" t="s">
        <v>149</v>
      </c>
      <c r="C51" t="s">
        <v>150</v>
      </c>
      <c r="D51" t="s">
        <v>23</v>
      </c>
      <c r="E51" t="s">
        <v>151</v>
      </c>
      <c r="F51" t="s">
        <v>45</v>
      </c>
      <c r="H51" s="2"/>
      <c r="J51" t="s">
        <v>24</v>
      </c>
      <c r="K51" s="2"/>
    </row>
    <row r="52" spans="1:11" x14ac:dyDescent="0.3">
      <c r="A52">
        <f t="shared" si="0"/>
        <v>51</v>
      </c>
      <c r="B52" t="s">
        <v>152</v>
      </c>
      <c r="C52" t="s">
        <v>153</v>
      </c>
      <c r="D52" t="s">
        <v>23</v>
      </c>
      <c r="E52" t="s">
        <v>151</v>
      </c>
      <c r="F52" t="s">
        <v>45</v>
      </c>
      <c r="H52" s="2"/>
      <c r="J52" t="s">
        <v>24</v>
      </c>
      <c r="K52" s="2"/>
    </row>
    <row r="53" spans="1:11" x14ac:dyDescent="0.3">
      <c r="A53">
        <f t="shared" si="0"/>
        <v>52</v>
      </c>
      <c r="B53" t="s">
        <v>154</v>
      </c>
      <c r="C53" t="s">
        <v>155</v>
      </c>
      <c r="D53" t="s">
        <v>58</v>
      </c>
      <c r="E53" t="s">
        <v>156</v>
      </c>
      <c r="F53" t="s">
        <v>157</v>
      </c>
      <c r="H53" s="2"/>
      <c r="J53" t="s">
        <v>17</v>
      </c>
      <c r="K53" s="2"/>
    </row>
    <row r="54" spans="1:11" x14ac:dyDescent="0.3">
      <c r="A54">
        <f t="shared" si="0"/>
        <v>53</v>
      </c>
      <c r="B54" t="s">
        <v>158</v>
      </c>
      <c r="C54" t="s">
        <v>159</v>
      </c>
      <c r="D54" t="s">
        <v>58</v>
      </c>
      <c r="E54" t="s">
        <v>156</v>
      </c>
      <c r="F54" t="s">
        <v>45</v>
      </c>
      <c r="H54" s="2"/>
      <c r="J54" t="s">
        <v>17</v>
      </c>
      <c r="K54" s="2"/>
    </row>
    <row r="55" spans="1:11" x14ac:dyDescent="0.3">
      <c r="A55">
        <f t="shared" si="0"/>
        <v>54</v>
      </c>
      <c r="B55" t="s">
        <v>160</v>
      </c>
      <c r="C55" t="s">
        <v>161</v>
      </c>
      <c r="D55" t="s">
        <v>58</v>
      </c>
      <c r="E55" t="s">
        <v>156</v>
      </c>
      <c r="F55" t="s">
        <v>37</v>
      </c>
      <c r="H55" s="2"/>
      <c r="J55" t="s">
        <v>17</v>
      </c>
      <c r="K55" s="2"/>
    </row>
    <row r="56" spans="1:11" x14ac:dyDescent="0.3">
      <c r="A56">
        <f t="shared" si="0"/>
        <v>55</v>
      </c>
      <c r="B56" t="s">
        <v>162</v>
      </c>
      <c r="C56" t="s">
        <v>163</v>
      </c>
      <c r="D56" t="s">
        <v>14</v>
      </c>
      <c r="E56" t="s">
        <v>164</v>
      </c>
      <c r="F56" t="s">
        <v>45</v>
      </c>
      <c r="H56" s="2"/>
      <c r="J56" t="s">
        <v>17</v>
      </c>
      <c r="K56" s="2" t="s">
        <v>165</v>
      </c>
    </row>
    <row r="57" spans="1:11" x14ac:dyDescent="0.3">
      <c r="A57">
        <f t="shared" si="0"/>
        <v>56</v>
      </c>
      <c r="B57" t="s">
        <v>166</v>
      </c>
      <c r="C57" t="s">
        <v>167</v>
      </c>
      <c r="D57" t="s">
        <v>49</v>
      </c>
      <c r="E57" t="s">
        <v>168</v>
      </c>
      <c r="H57" s="2"/>
      <c r="J57" t="s">
        <v>24</v>
      </c>
      <c r="K57" s="2"/>
    </row>
    <row r="58" spans="1:11" x14ac:dyDescent="0.3">
      <c r="A58">
        <f t="shared" si="0"/>
        <v>57</v>
      </c>
      <c r="B58" t="s">
        <v>169</v>
      </c>
      <c r="C58" t="s">
        <v>170</v>
      </c>
      <c r="D58" t="s">
        <v>23</v>
      </c>
      <c r="E58" t="s">
        <v>171</v>
      </c>
      <c r="F58" t="s">
        <v>41</v>
      </c>
      <c r="H58" s="2"/>
      <c r="J58" t="s">
        <v>17</v>
      </c>
      <c r="K58" s="2" t="s">
        <v>143</v>
      </c>
    </row>
    <row r="59" spans="1:11" x14ac:dyDescent="0.3">
      <c r="A59">
        <f t="shared" si="0"/>
        <v>58</v>
      </c>
      <c r="B59" t="s">
        <v>172</v>
      </c>
      <c r="C59" t="s">
        <v>173</v>
      </c>
      <c r="D59" t="s">
        <v>14</v>
      </c>
      <c r="E59" t="s">
        <v>171</v>
      </c>
      <c r="F59" t="s">
        <v>41</v>
      </c>
      <c r="H59" s="2"/>
      <c r="J59" t="s">
        <v>17</v>
      </c>
      <c r="K59" s="2"/>
    </row>
    <row r="60" spans="1:11" x14ac:dyDescent="0.3">
      <c r="A60">
        <f t="shared" si="0"/>
        <v>59</v>
      </c>
      <c r="B60" t="s">
        <v>174</v>
      </c>
      <c r="C60" t="s">
        <v>175</v>
      </c>
      <c r="D60" t="s">
        <v>23</v>
      </c>
      <c r="E60" t="s">
        <v>171</v>
      </c>
      <c r="F60" t="s">
        <v>41</v>
      </c>
      <c r="H60" s="2"/>
      <c r="J60" t="s">
        <v>17</v>
      </c>
      <c r="K60" s="2" t="s">
        <v>143</v>
      </c>
    </row>
    <row r="61" spans="1:11" x14ac:dyDescent="0.3">
      <c r="A61">
        <f t="shared" si="0"/>
        <v>60</v>
      </c>
      <c r="B61" t="s">
        <v>176</v>
      </c>
      <c r="C61" t="s">
        <v>177</v>
      </c>
      <c r="D61" t="s">
        <v>23</v>
      </c>
      <c r="E61" t="s">
        <v>178</v>
      </c>
      <c r="H61" s="2"/>
      <c r="J61" t="s">
        <v>17</v>
      </c>
      <c r="K61" s="2"/>
    </row>
    <row r="62" spans="1:11" x14ac:dyDescent="0.3">
      <c r="A62">
        <f t="shared" si="0"/>
        <v>61</v>
      </c>
      <c r="B62" t="s">
        <v>179</v>
      </c>
      <c r="C62" t="s">
        <v>180</v>
      </c>
      <c r="D62" t="s">
        <v>23</v>
      </c>
      <c r="E62" t="s">
        <v>178</v>
      </c>
      <c r="H62" s="2"/>
      <c r="J62" t="s">
        <v>24</v>
      </c>
      <c r="K62" s="2"/>
    </row>
    <row r="63" spans="1:11" x14ac:dyDescent="0.3">
      <c r="A63">
        <f t="shared" si="0"/>
        <v>62</v>
      </c>
      <c r="B63" t="s">
        <v>181</v>
      </c>
      <c r="C63" t="s">
        <v>182</v>
      </c>
      <c r="D63" t="s">
        <v>23</v>
      </c>
      <c r="E63" t="s">
        <v>183</v>
      </c>
      <c r="F63" t="s">
        <v>41</v>
      </c>
      <c r="H63" s="2"/>
      <c r="J63" t="s">
        <v>17</v>
      </c>
      <c r="K63" s="2"/>
    </row>
    <row r="64" spans="1:11" x14ac:dyDescent="0.3">
      <c r="A64">
        <f t="shared" si="0"/>
        <v>63</v>
      </c>
      <c r="B64" t="s">
        <v>184</v>
      </c>
      <c r="C64" t="s">
        <v>185</v>
      </c>
      <c r="D64" t="s">
        <v>23</v>
      </c>
      <c r="E64" t="s">
        <v>183</v>
      </c>
      <c r="H64" s="2"/>
      <c r="J64" t="s">
        <v>24</v>
      </c>
      <c r="K64" s="2"/>
    </row>
    <row r="65" spans="1:11" x14ac:dyDescent="0.3">
      <c r="A65">
        <f t="shared" si="0"/>
        <v>64</v>
      </c>
      <c r="B65" t="s">
        <v>186</v>
      </c>
      <c r="C65" t="s">
        <v>187</v>
      </c>
      <c r="D65" t="s">
        <v>23</v>
      </c>
      <c r="E65" t="s">
        <v>183</v>
      </c>
      <c r="H65" s="2"/>
      <c r="J65" t="s">
        <v>17</v>
      </c>
      <c r="K65" s="2"/>
    </row>
    <row r="66" spans="1:11" x14ac:dyDescent="0.3">
      <c r="A66">
        <f t="shared" ref="A66:A129" si="2">IF(B66="","",ROW()-1)</f>
        <v>65</v>
      </c>
      <c r="B66" t="s">
        <v>188</v>
      </c>
      <c r="C66" t="s">
        <v>189</v>
      </c>
      <c r="D66" t="s">
        <v>14</v>
      </c>
      <c r="E66" t="s">
        <v>183</v>
      </c>
      <c r="H66" s="2"/>
      <c r="J66" t="s">
        <v>17</v>
      </c>
      <c r="K66" s="2"/>
    </row>
    <row r="67" spans="1:11" x14ac:dyDescent="0.3">
      <c r="A67">
        <f t="shared" si="2"/>
        <v>66</v>
      </c>
      <c r="B67" t="s">
        <v>190</v>
      </c>
      <c r="C67" t="s">
        <v>191</v>
      </c>
      <c r="D67" t="s">
        <v>23</v>
      </c>
      <c r="E67" t="s">
        <v>183</v>
      </c>
      <c r="F67" t="s">
        <v>16</v>
      </c>
      <c r="H67" s="2"/>
      <c r="J67" t="s">
        <v>17</v>
      </c>
      <c r="K67" s="2"/>
    </row>
    <row r="68" spans="1:11" x14ac:dyDescent="0.3">
      <c r="A68">
        <f t="shared" si="2"/>
        <v>67</v>
      </c>
      <c r="B68" t="s">
        <v>192</v>
      </c>
      <c r="C68" t="s">
        <v>193</v>
      </c>
      <c r="D68" t="s">
        <v>23</v>
      </c>
      <c r="E68" t="s">
        <v>183</v>
      </c>
      <c r="H68" s="2"/>
      <c r="J68" t="s">
        <v>17</v>
      </c>
      <c r="K68" s="2"/>
    </row>
    <row r="69" spans="1:11" x14ac:dyDescent="0.3">
      <c r="A69">
        <f t="shared" si="2"/>
        <v>68</v>
      </c>
      <c r="B69" t="s">
        <v>194</v>
      </c>
      <c r="C69" t="s">
        <v>195</v>
      </c>
      <c r="D69" t="s">
        <v>23</v>
      </c>
      <c r="E69" t="s">
        <v>183</v>
      </c>
      <c r="H69" s="2"/>
      <c r="J69" t="s">
        <v>17</v>
      </c>
      <c r="K69" s="2"/>
    </row>
    <row r="70" spans="1:11" x14ac:dyDescent="0.3">
      <c r="A70">
        <f t="shared" si="2"/>
        <v>69</v>
      </c>
      <c r="B70" t="s">
        <v>196</v>
      </c>
      <c r="C70" t="s">
        <v>197</v>
      </c>
      <c r="D70" t="s">
        <v>23</v>
      </c>
      <c r="E70" t="s">
        <v>183</v>
      </c>
      <c r="H70" s="2"/>
      <c r="J70" t="s">
        <v>17</v>
      </c>
      <c r="K70" s="2"/>
    </row>
    <row r="71" spans="1:11" x14ac:dyDescent="0.3">
      <c r="A71">
        <f t="shared" si="2"/>
        <v>70</v>
      </c>
      <c r="B71" t="s">
        <v>198</v>
      </c>
      <c r="C71" t="s">
        <v>199</v>
      </c>
      <c r="D71" t="s">
        <v>23</v>
      </c>
      <c r="E71" t="s">
        <v>183</v>
      </c>
      <c r="H71" s="2"/>
      <c r="J71" t="s">
        <v>17</v>
      </c>
      <c r="K71" s="2"/>
    </row>
    <row r="72" spans="1:11" x14ac:dyDescent="0.3">
      <c r="A72">
        <f t="shared" si="2"/>
        <v>71</v>
      </c>
      <c r="B72" t="s">
        <v>200</v>
      </c>
      <c r="C72" t="s">
        <v>201</v>
      </c>
      <c r="D72" t="s">
        <v>23</v>
      </c>
      <c r="E72" t="s">
        <v>183</v>
      </c>
      <c r="H72" s="2"/>
      <c r="J72" t="s">
        <v>24</v>
      </c>
      <c r="K72" s="2"/>
    </row>
    <row r="73" spans="1:11" x14ac:dyDescent="0.3">
      <c r="A73">
        <f t="shared" si="2"/>
        <v>72</v>
      </c>
      <c r="B73" t="s">
        <v>202</v>
      </c>
      <c r="C73" t="s">
        <v>203</v>
      </c>
      <c r="D73" t="s">
        <v>23</v>
      </c>
      <c r="E73" t="s">
        <v>183</v>
      </c>
      <c r="H73" s="2"/>
      <c r="J73" t="s">
        <v>17</v>
      </c>
      <c r="K73" s="2"/>
    </row>
    <row r="74" spans="1:11" x14ac:dyDescent="0.3">
      <c r="A74">
        <f t="shared" si="2"/>
        <v>73</v>
      </c>
      <c r="B74" t="s">
        <v>204</v>
      </c>
      <c r="C74" t="s">
        <v>205</v>
      </c>
      <c r="D74" t="s">
        <v>58</v>
      </c>
      <c r="E74" t="s">
        <v>183</v>
      </c>
      <c r="F74" t="s">
        <v>16</v>
      </c>
      <c r="H74" s="2"/>
      <c r="J74" t="s">
        <v>17</v>
      </c>
      <c r="K74" s="2"/>
    </row>
    <row r="75" spans="1:11" x14ac:dyDescent="0.3">
      <c r="A75">
        <f t="shared" si="2"/>
        <v>74</v>
      </c>
      <c r="B75" t="s">
        <v>206</v>
      </c>
      <c r="C75" t="s">
        <v>207</v>
      </c>
      <c r="D75" t="s">
        <v>23</v>
      </c>
      <c r="E75" t="s">
        <v>183</v>
      </c>
      <c r="H75" s="2"/>
      <c r="J75" t="s">
        <v>17</v>
      </c>
      <c r="K75" s="2"/>
    </row>
    <row r="76" spans="1:11" x14ac:dyDescent="0.3">
      <c r="A76">
        <f t="shared" si="2"/>
        <v>75</v>
      </c>
      <c r="B76" t="s">
        <v>208</v>
      </c>
      <c r="C76" t="s">
        <v>209</v>
      </c>
      <c r="D76" t="s">
        <v>23</v>
      </c>
      <c r="E76" t="s">
        <v>183</v>
      </c>
      <c r="H76" s="2"/>
      <c r="J76" t="s">
        <v>17</v>
      </c>
      <c r="K76" s="2"/>
    </row>
    <row r="77" spans="1:11" x14ac:dyDescent="0.3">
      <c r="A77">
        <f t="shared" si="2"/>
        <v>76</v>
      </c>
      <c r="B77" t="s">
        <v>210</v>
      </c>
      <c r="C77" t="s">
        <v>211</v>
      </c>
      <c r="D77" t="s">
        <v>49</v>
      </c>
      <c r="E77" t="s">
        <v>183</v>
      </c>
      <c r="F77" t="s">
        <v>45</v>
      </c>
      <c r="H77" s="2"/>
      <c r="J77" t="s">
        <v>17</v>
      </c>
      <c r="K77" s="2"/>
    </row>
    <row r="78" spans="1:11" x14ac:dyDescent="0.3">
      <c r="A78">
        <f t="shared" si="2"/>
        <v>77</v>
      </c>
      <c r="B78" t="s">
        <v>212</v>
      </c>
      <c r="C78" t="s">
        <v>213</v>
      </c>
      <c r="D78" t="s">
        <v>23</v>
      </c>
      <c r="E78" t="s">
        <v>183</v>
      </c>
      <c r="F78" t="s">
        <v>41</v>
      </c>
      <c r="H78" s="2"/>
      <c r="J78" t="s">
        <v>17</v>
      </c>
      <c r="K78" s="2"/>
    </row>
    <row r="79" spans="1:11" x14ac:dyDescent="0.3">
      <c r="A79">
        <f t="shared" si="2"/>
        <v>78</v>
      </c>
      <c r="B79" t="s">
        <v>214</v>
      </c>
      <c r="C79" t="s">
        <v>215</v>
      </c>
      <c r="D79" t="s">
        <v>23</v>
      </c>
      <c r="E79" t="s">
        <v>183</v>
      </c>
      <c r="F79" t="s">
        <v>16</v>
      </c>
      <c r="H79" s="2"/>
      <c r="J79" t="s">
        <v>17</v>
      </c>
      <c r="K79" s="2"/>
    </row>
    <row r="80" spans="1:11" x14ac:dyDescent="0.3">
      <c r="A80">
        <f t="shared" si="2"/>
        <v>79</v>
      </c>
      <c r="B80" t="s">
        <v>216</v>
      </c>
      <c r="C80" t="s">
        <v>217</v>
      </c>
      <c r="D80" t="s">
        <v>23</v>
      </c>
      <c r="E80" t="s">
        <v>183</v>
      </c>
      <c r="H80" s="2"/>
      <c r="J80" t="s">
        <v>17</v>
      </c>
      <c r="K80" s="2"/>
    </row>
    <row r="81" spans="1:11" x14ac:dyDescent="0.3">
      <c r="A81">
        <f t="shared" si="2"/>
        <v>80</v>
      </c>
      <c r="B81" t="s">
        <v>218</v>
      </c>
      <c r="C81" t="s">
        <v>219</v>
      </c>
      <c r="D81" t="s">
        <v>23</v>
      </c>
      <c r="E81" t="s">
        <v>183</v>
      </c>
      <c r="F81" t="s">
        <v>16</v>
      </c>
      <c r="H81" s="2"/>
      <c r="J81" t="s">
        <v>17</v>
      </c>
      <c r="K81" s="2"/>
    </row>
    <row r="82" spans="1:11" x14ac:dyDescent="0.3">
      <c r="A82">
        <f t="shared" si="2"/>
        <v>81</v>
      </c>
      <c r="B82" t="s">
        <v>220</v>
      </c>
      <c r="C82" t="s">
        <v>221</v>
      </c>
      <c r="D82" t="s">
        <v>49</v>
      </c>
      <c r="E82" t="s">
        <v>183</v>
      </c>
      <c r="F82" t="s">
        <v>45</v>
      </c>
      <c r="H82" s="2"/>
      <c r="J82" t="s">
        <v>17</v>
      </c>
      <c r="K82" s="2"/>
    </row>
    <row r="83" spans="1:11" x14ac:dyDescent="0.3">
      <c r="A83">
        <f t="shared" si="2"/>
        <v>82</v>
      </c>
      <c r="B83" t="s">
        <v>222</v>
      </c>
      <c r="C83" t="s">
        <v>223</v>
      </c>
      <c r="D83" t="s">
        <v>23</v>
      </c>
      <c r="E83" t="s">
        <v>183</v>
      </c>
      <c r="F83" t="s">
        <v>16</v>
      </c>
      <c r="H83" s="2"/>
      <c r="J83" t="s">
        <v>24</v>
      </c>
      <c r="K83" s="2"/>
    </row>
    <row r="84" spans="1:11" x14ac:dyDescent="0.3">
      <c r="A84">
        <f t="shared" si="2"/>
        <v>83</v>
      </c>
      <c r="B84" t="s">
        <v>224</v>
      </c>
      <c r="C84" t="s">
        <v>225</v>
      </c>
      <c r="D84" t="s">
        <v>23</v>
      </c>
      <c r="E84" t="s">
        <v>226</v>
      </c>
      <c r="F84" t="s">
        <v>37</v>
      </c>
      <c r="H84" s="2"/>
      <c r="J84" t="s">
        <v>17</v>
      </c>
      <c r="K84" s="2"/>
    </row>
    <row r="85" spans="1:11" x14ac:dyDescent="0.3">
      <c r="A85">
        <f t="shared" si="2"/>
        <v>84</v>
      </c>
      <c r="B85" t="s">
        <v>227</v>
      </c>
      <c r="C85" t="s">
        <v>228</v>
      </c>
      <c r="D85" t="s">
        <v>23</v>
      </c>
      <c r="E85" t="s">
        <v>229</v>
      </c>
      <c r="F85" t="s">
        <v>45</v>
      </c>
      <c r="H85" s="2"/>
      <c r="J85" t="s">
        <v>17</v>
      </c>
      <c r="K85" s="2"/>
    </row>
    <row r="86" spans="1:11" x14ac:dyDescent="0.3">
      <c r="A86">
        <f t="shared" si="2"/>
        <v>85</v>
      </c>
      <c r="B86" t="s">
        <v>230</v>
      </c>
      <c r="C86" t="s">
        <v>231</v>
      </c>
      <c r="D86" t="s">
        <v>23</v>
      </c>
      <c r="E86" t="s">
        <v>229</v>
      </c>
      <c r="F86" t="s">
        <v>45</v>
      </c>
      <c r="H86" s="2"/>
      <c r="J86" t="s">
        <v>24</v>
      </c>
      <c r="K86" s="2"/>
    </row>
    <row r="87" spans="1:11" x14ac:dyDescent="0.3">
      <c r="A87">
        <f t="shared" si="2"/>
        <v>86</v>
      </c>
      <c r="B87" t="s">
        <v>232</v>
      </c>
      <c r="C87" t="s">
        <v>233</v>
      </c>
      <c r="D87" t="s">
        <v>23</v>
      </c>
      <c r="E87" t="s">
        <v>229</v>
      </c>
      <c r="F87" t="s">
        <v>45</v>
      </c>
      <c r="H87" s="2"/>
      <c r="J87" t="s">
        <v>17</v>
      </c>
      <c r="K87" s="2"/>
    </row>
    <row r="88" spans="1:11" x14ac:dyDescent="0.3">
      <c r="A88">
        <f t="shared" si="2"/>
        <v>87</v>
      </c>
      <c r="B88" t="s">
        <v>234</v>
      </c>
      <c r="C88" t="s">
        <v>235</v>
      </c>
      <c r="D88" t="s">
        <v>23</v>
      </c>
      <c r="E88" t="s">
        <v>236</v>
      </c>
      <c r="H88" s="2"/>
      <c r="J88" t="s">
        <v>17</v>
      </c>
      <c r="K88" s="2"/>
    </row>
    <row r="89" spans="1:11" x14ac:dyDescent="0.3">
      <c r="A89">
        <f t="shared" si="2"/>
        <v>88</v>
      </c>
      <c r="B89" t="s">
        <v>237</v>
      </c>
      <c r="C89" t="s">
        <v>238</v>
      </c>
      <c r="D89" t="s">
        <v>23</v>
      </c>
      <c r="E89" t="s">
        <v>236</v>
      </c>
      <c r="H89" s="2"/>
      <c r="J89" t="s">
        <v>24</v>
      </c>
      <c r="K89" s="2"/>
    </row>
    <row r="90" spans="1:11" x14ac:dyDescent="0.3">
      <c r="A90">
        <f t="shared" si="2"/>
        <v>89</v>
      </c>
      <c r="B90" t="s">
        <v>239</v>
      </c>
      <c r="C90" t="s">
        <v>240</v>
      </c>
      <c r="D90" t="s">
        <v>58</v>
      </c>
      <c r="E90" t="s">
        <v>236</v>
      </c>
      <c r="H90" s="2"/>
      <c r="J90" t="s">
        <v>17</v>
      </c>
      <c r="K90" s="2"/>
    </row>
    <row r="91" spans="1:11" x14ac:dyDescent="0.3">
      <c r="A91">
        <f t="shared" si="2"/>
        <v>90</v>
      </c>
      <c r="B91" t="s">
        <v>241</v>
      </c>
      <c r="C91" t="s">
        <v>242</v>
      </c>
      <c r="D91" t="s">
        <v>58</v>
      </c>
      <c r="E91" t="s">
        <v>236</v>
      </c>
      <c r="H91" s="2"/>
      <c r="J91" t="s">
        <v>17</v>
      </c>
      <c r="K91" s="2"/>
    </row>
    <row r="92" spans="1:11" x14ac:dyDescent="0.3">
      <c r="A92">
        <f t="shared" si="2"/>
        <v>91</v>
      </c>
      <c r="B92" t="s">
        <v>243</v>
      </c>
      <c r="C92" t="s">
        <v>244</v>
      </c>
      <c r="D92" t="s">
        <v>58</v>
      </c>
      <c r="E92" t="s">
        <v>236</v>
      </c>
      <c r="H92" s="2"/>
      <c r="J92" t="s">
        <v>17</v>
      </c>
      <c r="K92" s="2"/>
    </row>
    <row r="93" spans="1:11" x14ac:dyDescent="0.3">
      <c r="A93">
        <f t="shared" si="2"/>
        <v>92</v>
      </c>
      <c r="B93" t="s">
        <v>245</v>
      </c>
      <c r="C93" t="s">
        <v>246</v>
      </c>
      <c r="D93" t="s">
        <v>23</v>
      </c>
      <c r="E93" t="s">
        <v>247</v>
      </c>
      <c r="H93" s="2"/>
      <c r="J93" t="s">
        <v>17</v>
      </c>
      <c r="K93" s="2"/>
    </row>
    <row r="94" spans="1:11" x14ac:dyDescent="0.3">
      <c r="A94">
        <f t="shared" si="2"/>
        <v>93</v>
      </c>
      <c r="B94" t="s">
        <v>248</v>
      </c>
      <c r="C94" t="s">
        <v>249</v>
      </c>
      <c r="D94" t="s">
        <v>23</v>
      </c>
      <c r="E94" t="s">
        <v>247</v>
      </c>
      <c r="H94" s="2"/>
      <c r="J94" t="s">
        <v>24</v>
      </c>
      <c r="K94" s="2"/>
    </row>
    <row r="95" spans="1:11" x14ac:dyDescent="0.3">
      <c r="A95">
        <f t="shared" si="2"/>
        <v>94</v>
      </c>
      <c r="B95" t="s">
        <v>250</v>
      </c>
      <c r="C95" t="s">
        <v>251</v>
      </c>
      <c r="D95" t="s">
        <v>55</v>
      </c>
      <c r="E95" t="s">
        <v>252</v>
      </c>
      <c r="H95" s="2"/>
      <c r="J95" t="s">
        <v>24</v>
      </c>
      <c r="K95" s="2"/>
    </row>
    <row r="96" spans="1:11" x14ac:dyDescent="0.3">
      <c r="A96">
        <f t="shared" si="2"/>
        <v>95</v>
      </c>
      <c r="B96" t="s">
        <v>253</v>
      </c>
      <c r="C96" t="s">
        <v>254</v>
      </c>
      <c r="D96" t="s">
        <v>23</v>
      </c>
      <c r="E96" t="s">
        <v>255</v>
      </c>
      <c r="H96" s="2"/>
      <c r="J96" t="s">
        <v>17</v>
      </c>
      <c r="K96" s="2"/>
    </row>
    <row r="97" spans="1:11" x14ac:dyDescent="0.3">
      <c r="A97">
        <f t="shared" si="2"/>
        <v>96</v>
      </c>
      <c r="B97" t="s">
        <v>256</v>
      </c>
      <c r="C97" t="s">
        <v>257</v>
      </c>
      <c r="D97" t="s">
        <v>58</v>
      </c>
      <c r="E97" t="s">
        <v>258</v>
      </c>
      <c r="F97" t="s">
        <v>45</v>
      </c>
      <c r="H97" s="2"/>
      <c r="J97" t="s">
        <v>17</v>
      </c>
      <c r="K97" s="2" t="s">
        <v>259</v>
      </c>
    </row>
    <row r="98" spans="1:11" x14ac:dyDescent="0.3">
      <c r="A98">
        <f t="shared" si="2"/>
        <v>97</v>
      </c>
      <c r="B98" t="s">
        <v>260</v>
      </c>
      <c r="C98" t="s">
        <v>261</v>
      </c>
      <c r="D98" t="s">
        <v>23</v>
      </c>
      <c r="E98" t="s">
        <v>258</v>
      </c>
      <c r="F98" t="s">
        <v>41</v>
      </c>
      <c r="H98" s="2"/>
      <c r="J98" t="s">
        <v>17</v>
      </c>
      <c r="K98" s="2" t="s">
        <v>262</v>
      </c>
    </row>
    <row r="99" spans="1:11" x14ac:dyDescent="0.3">
      <c r="A99">
        <f t="shared" si="2"/>
        <v>98</v>
      </c>
      <c r="B99" t="s">
        <v>263</v>
      </c>
      <c r="C99" t="s">
        <v>264</v>
      </c>
      <c r="D99" t="s">
        <v>23</v>
      </c>
      <c r="E99" t="s">
        <v>258</v>
      </c>
      <c r="H99" s="2"/>
      <c r="J99" t="s">
        <v>17</v>
      </c>
      <c r="K99" s="2"/>
    </row>
    <row r="100" spans="1:11" x14ac:dyDescent="0.3">
      <c r="A100">
        <f t="shared" si="2"/>
        <v>99</v>
      </c>
      <c r="B100" t="s">
        <v>265</v>
      </c>
      <c r="C100" t="s">
        <v>266</v>
      </c>
      <c r="D100" t="s">
        <v>23</v>
      </c>
      <c r="E100" t="s">
        <v>258</v>
      </c>
      <c r="H100" s="2"/>
      <c r="J100" t="s">
        <v>17</v>
      </c>
      <c r="K100" s="2"/>
    </row>
    <row r="101" spans="1:11" x14ac:dyDescent="0.3">
      <c r="A101">
        <f t="shared" si="2"/>
        <v>100</v>
      </c>
      <c r="B101" t="s">
        <v>267</v>
      </c>
      <c r="C101" t="s">
        <v>268</v>
      </c>
      <c r="D101" t="s">
        <v>49</v>
      </c>
      <c r="E101" t="s">
        <v>258</v>
      </c>
      <c r="H101" s="2"/>
      <c r="J101" t="s">
        <v>17</v>
      </c>
      <c r="K101" s="2"/>
    </row>
    <row r="102" spans="1:11" x14ac:dyDescent="0.3">
      <c r="A102">
        <f t="shared" si="2"/>
        <v>101</v>
      </c>
      <c r="B102" t="s">
        <v>269</v>
      </c>
      <c r="C102" t="s">
        <v>270</v>
      </c>
      <c r="D102" t="s">
        <v>23</v>
      </c>
      <c r="E102" t="s">
        <v>271</v>
      </c>
      <c r="F102" t="s">
        <v>16</v>
      </c>
      <c r="H102" s="2"/>
      <c r="J102" t="s">
        <v>17</v>
      </c>
      <c r="K102" s="2"/>
    </row>
    <row r="103" spans="1:11" x14ac:dyDescent="0.3">
      <c r="A103">
        <f t="shared" si="2"/>
        <v>102</v>
      </c>
      <c r="B103" t="s">
        <v>272</v>
      </c>
      <c r="C103" t="s">
        <v>273</v>
      </c>
      <c r="D103" t="s">
        <v>23</v>
      </c>
      <c r="E103" t="s">
        <v>271</v>
      </c>
      <c r="F103" t="s">
        <v>16</v>
      </c>
      <c r="H103" s="2"/>
      <c r="J103" t="s">
        <v>17</v>
      </c>
      <c r="K103" s="2">
        <v>46248</v>
      </c>
    </row>
    <row r="104" spans="1:11" x14ac:dyDescent="0.3">
      <c r="A104">
        <f t="shared" si="2"/>
        <v>103</v>
      </c>
      <c r="B104" t="s">
        <v>274</v>
      </c>
      <c r="C104" t="s">
        <v>275</v>
      </c>
      <c r="D104" t="s">
        <v>23</v>
      </c>
      <c r="E104" t="s">
        <v>271</v>
      </c>
      <c r="F104" t="s">
        <v>16</v>
      </c>
      <c r="H104" s="2"/>
      <c r="J104" t="s">
        <v>17</v>
      </c>
      <c r="K104" s="2">
        <v>46248</v>
      </c>
    </row>
    <row r="105" spans="1:11" x14ac:dyDescent="0.3">
      <c r="A105">
        <f t="shared" si="2"/>
        <v>104</v>
      </c>
      <c r="B105" t="s">
        <v>276</v>
      </c>
      <c r="C105" t="s">
        <v>277</v>
      </c>
      <c r="D105" t="s">
        <v>14</v>
      </c>
      <c r="E105" t="s">
        <v>278</v>
      </c>
      <c r="H105" s="2"/>
      <c r="J105" t="s">
        <v>17</v>
      </c>
      <c r="K105" s="2"/>
    </row>
    <row r="106" spans="1:11" x14ac:dyDescent="0.3">
      <c r="A106">
        <f t="shared" si="2"/>
        <v>105</v>
      </c>
      <c r="B106" t="s">
        <v>279</v>
      </c>
      <c r="C106" t="s">
        <v>280</v>
      </c>
      <c r="D106" t="s">
        <v>58</v>
      </c>
      <c r="E106" t="s">
        <v>281</v>
      </c>
      <c r="F106" t="s">
        <v>41</v>
      </c>
      <c r="H106" s="2"/>
      <c r="J106" t="s">
        <v>17</v>
      </c>
      <c r="K106" s="2"/>
    </row>
    <row r="107" spans="1:11" x14ac:dyDescent="0.3">
      <c r="A107">
        <f t="shared" si="2"/>
        <v>106</v>
      </c>
      <c r="B107" t="s">
        <v>282</v>
      </c>
      <c r="C107" t="s">
        <v>283</v>
      </c>
      <c r="D107" t="s">
        <v>55</v>
      </c>
      <c r="E107" t="s">
        <v>281</v>
      </c>
      <c r="F107" t="s">
        <v>41</v>
      </c>
      <c r="H107" s="2"/>
      <c r="J107" t="s">
        <v>17</v>
      </c>
      <c r="K107" s="2"/>
    </row>
    <row r="108" spans="1:11" x14ac:dyDescent="0.3">
      <c r="A108">
        <f t="shared" si="2"/>
        <v>107</v>
      </c>
      <c r="B108" t="s">
        <v>284</v>
      </c>
      <c r="C108" t="s">
        <v>285</v>
      </c>
      <c r="D108" t="s">
        <v>55</v>
      </c>
      <c r="E108" t="s">
        <v>281</v>
      </c>
      <c r="F108" t="s">
        <v>45</v>
      </c>
      <c r="H108" s="2"/>
      <c r="J108" t="s">
        <v>17</v>
      </c>
      <c r="K108" s="2"/>
    </row>
    <row r="109" spans="1:11" x14ac:dyDescent="0.3">
      <c r="A109">
        <f t="shared" si="2"/>
        <v>108</v>
      </c>
      <c r="B109" t="s">
        <v>286</v>
      </c>
      <c r="C109" t="s">
        <v>287</v>
      </c>
      <c r="D109" t="s">
        <v>23</v>
      </c>
      <c r="E109" t="s">
        <v>281</v>
      </c>
      <c r="F109" t="s">
        <v>45</v>
      </c>
      <c r="H109" s="2"/>
      <c r="J109" t="s">
        <v>17</v>
      </c>
      <c r="K109" s="2"/>
    </row>
    <row r="110" spans="1:11" x14ac:dyDescent="0.3">
      <c r="A110">
        <f t="shared" si="2"/>
        <v>109</v>
      </c>
      <c r="B110" t="s">
        <v>288</v>
      </c>
      <c r="C110" t="s">
        <v>289</v>
      </c>
      <c r="D110" t="s">
        <v>23</v>
      </c>
      <c r="E110" t="s">
        <v>281</v>
      </c>
      <c r="F110" t="s">
        <v>45</v>
      </c>
      <c r="H110" s="2"/>
      <c r="J110" t="s">
        <v>17</v>
      </c>
      <c r="K110" s="2"/>
    </row>
    <row r="111" spans="1:11" x14ac:dyDescent="0.3">
      <c r="A111">
        <f t="shared" si="2"/>
        <v>110</v>
      </c>
      <c r="B111" t="s">
        <v>290</v>
      </c>
      <c r="C111" t="s">
        <v>291</v>
      </c>
      <c r="D111" t="s">
        <v>23</v>
      </c>
      <c r="E111" t="s">
        <v>281</v>
      </c>
      <c r="F111" t="s">
        <v>45</v>
      </c>
      <c r="H111" s="2"/>
      <c r="J111" t="s">
        <v>17</v>
      </c>
      <c r="K111" s="2"/>
    </row>
    <row r="112" spans="1:11" x14ac:dyDescent="0.3">
      <c r="A112">
        <f t="shared" si="2"/>
        <v>111</v>
      </c>
      <c r="B112" t="s">
        <v>292</v>
      </c>
      <c r="C112" t="s">
        <v>293</v>
      </c>
      <c r="D112" t="s">
        <v>23</v>
      </c>
      <c r="E112" t="s">
        <v>281</v>
      </c>
      <c r="F112" t="s">
        <v>41</v>
      </c>
      <c r="H112" s="2"/>
      <c r="J112" t="s">
        <v>17</v>
      </c>
      <c r="K112" s="2"/>
    </row>
    <row r="113" spans="1:11" x14ac:dyDescent="0.3">
      <c r="A113">
        <f t="shared" si="2"/>
        <v>112</v>
      </c>
      <c r="B113" t="s">
        <v>294</v>
      </c>
      <c r="C113" t="s">
        <v>295</v>
      </c>
      <c r="D113" t="s">
        <v>55</v>
      </c>
      <c r="E113" t="s">
        <v>281</v>
      </c>
      <c r="F113" t="s">
        <v>41</v>
      </c>
      <c r="H113" s="2"/>
      <c r="J113" t="s">
        <v>17</v>
      </c>
      <c r="K113" s="2"/>
    </row>
    <row r="114" spans="1:11" x14ac:dyDescent="0.3">
      <c r="A114">
        <f t="shared" si="2"/>
        <v>113</v>
      </c>
      <c r="B114" t="s">
        <v>296</v>
      </c>
      <c r="C114" t="s">
        <v>297</v>
      </c>
      <c r="D114" t="s">
        <v>23</v>
      </c>
      <c r="E114" t="s">
        <v>281</v>
      </c>
      <c r="F114" t="s">
        <v>41</v>
      </c>
      <c r="H114" s="2"/>
      <c r="J114" t="s">
        <v>17</v>
      </c>
      <c r="K114" s="2"/>
    </row>
    <row r="115" spans="1:11" x14ac:dyDescent="0.3">
      <c r="A115">
        <f t="shared" si="2"/>
        <v>114</v>
      </c>
      <c r="B115" t="s">
        <v>298</v>
      </c>
      <c r="C115" t="s">
        <v>299</v>
      </c>
      <c r="D115" t="s">
        <v>55</v>
      </c>
      <c r="E115" t="s">
        <v>300</v>
      </c>
      <c r="F115" t="s">
        <v>45</v>
      </c>
      <c r="H115" s="2"/>
      <c r="J115" t="s">
        <v>17</v>
      </c>
      <c r="K115" s="2"/>
    </row>
    <row r="116" spans="1:11" x14ac:dyDescent="0.3">
      <c r="A116">
        <f t="shared" si="2"/>
        <v>115</v>
      </c>
      <c r="B116" t="s">
        <v>301</v>
      </c>
      <c r="C116" t="s">
        <v>302</v>
      </c>
      <c r="D116" t="s">
        <v>14</v>
      </c>
      <c r="E116" t="s">
        <v>300</v>
      </c>
      <c r="H116" s="2"/>
      <c r="J116" t="s">
        <v>17</v>
      </c>
      <c r="K116" s="2"/>
    </row>
    <row r="117" spans="1:11" x14ac:dyDescent="0.3">
      <c r="A117">
        <f t="shared" si="2"/>
        <v>116</v>
      </c>
      <c r="B117" t="s">
        <v>303</v>
      </c>
      <c r="C117" t="s">
        <v>304</v>
      </c>
      <c r="D117" t="s">
        <v>14</v>
      </c>
      <c r="E117" t="s">
        <v>300</v>
      </c>
      <c r="F117" t="s">
        <v>45</v>
      </c>
      <c r="H117" s="2"/>
      <c r="J117" t="s">
        <v>17</v>
      </c>
      <c r="K117" s="2"/>
    </row>
    <row r="118" spans="1:11" x14ac:dyDescent="0.3">
      <c r="A118">
        <f t="shared" si="2"/>
        <v>117</v>
      </c>
      <c r="B118" t="s">
        <v>305</v>
      </c>
      <c r="C118" t="s">
        <v>306</v>
      </c>
      <c r="D118" t="s">
        <v>23</v>
      </c>
      <c r="E118" t="s">
        <v>307</v>
      </c>
      <c r="F118" t="s">
        <v>16</v>
      </c>
      <c r="H118" s="2"/>
      <c r="J118" t="s">
        <v>17</v>
      </c>
      <c r="K118" s="2">
        <v>46217</v>
      </c>
    </row>
    <row r="119" spans="1:11" x14ac:dyDescent="0.3">
      <c r="A119">
        <f t="shared" si="2"/>
        <v>118</v>
      </c>
      <c r="B119" t="s">
        <v>308</v>
      </c>
      <c r="C119" t="s">
        <v>309</v>
      </c>
      <c r="D119" t="s">
        <v>23</v>
      </c>
      <c r="E119" t="s">
        <v>307</v>
      </c>
      <c r="F119" t="s">
        <v>16</v>
      </c>
      <c r="H119" s="2"/>
      <c r="J119" t="s">
        <v>17</v>
      </c>
      <c r="K119" s="2"/>
    </row>
    <row r="120" spans="1:11" x14ac:dyDescent="0.3">
      <c r="A120">
        <f t="shared" si="2"/>
        <v>119</v>
      </c>
      <c r="B120" t="s">
        <v>310</v>
      </c>
      <c r="C120" t="s">
        <v>311</v>
      </c>
      <c r="D120" t="s">
        <v>23</v>
      </c>
      <c r="E120" t="s">
        <v>312</v>
      </c>
      <c r="H120" s="2"/>
      <c r="J120" t="s">
        <v>24</v>
      </c>
      <c r="K120" s="2"/>
    </row>
    <row r="121" spans="1:11" x14ac:dyDescent="0.3">
      <c r="A121">
        <f t="shared" si="2"/>
        <v>120</v>
      </c>
      <c r="B121" t="s">
        <v>313</v>
      </c>
      <c r="C121" t="s">
        <v>314</v>
      </c>
      <c r="D121" t="s">
        <v>23</v>
      </c>
      <c r="E121" t="s">
        <v>315</v>
      </c>
      <c r="F121" t="s">
        <v>45</v>
      </c>
      <c r="H121" s="2"/>
      <c r="J121" t="s">
        <v>17</v>
      </c>
      <c r="K121" s="2"/>
    </row>
    <row r="122" spans="1:11" x14ac:dyDescent="0.3">
      <c r="A122">
        <f t="shared" si="2"/>
        <v>121</v>
      </c>
      <c r="B122" t="s">
        <v>316</v>
      </c>
      <c r="C122" t="s">
        <v>317</v>
      </c>
      <c r="D122" t="s">
        <v>55</v>
      </c>
      <c r="E122" t="s">
        <v>315</v>
      </c>
      <c r="F122" t="s">
        <v>45</v>
      </c>
      <c r="H122" s="2"/>
      <c r="J122" t="s">
        <v>17</v>
      </c>
      <c r="K122" s="2"/>
    </row>
    <row r="123" spans="1:11" x14ac:dyDescent="0.3">
      <c r="A123">
        <f t="shared" si="2"/>
        <v>122</v>
      </c>
      <c r="B123" t="s">
        <v>318</v>
      </c>
      <c r="C123" t="s">
        <v>319</v>
      </c>
      <c r="D123" t="s">
        <v>55</v>
      </c>
      <c r="E123" t="s">
        <v>320</v>
      </c>
      <c r="F123" t="s">
        <v>41</v>
      </c>
      <c r="H123" s="2"/>
      <c r="J123" t="s">
        <v>17</v>
      </c>
      <c r="K123" s="2"/>
    </row>
    <row r="124" spans="1:11" x14ac:dyDescent="0.3">
      <c r="A124">
        <f t="shared" si="2"/>
        <v>123</v>
      </c>
      <c r="B124" t="s">
        <v>321</v>
      </c>
      <c r="C124" t="s">
        <v>322</v>
      </c>
      <c r="D124" t="s">
        <v>23</v>
      </c>
      <c r="E124" t="s">
        <v>323</v>
      </c>
      <c r="F124" t="s">
        <v>45</v>
      </c>
      <c r="H124" s="2"/>
      <c r="J124" t="s">
        <v>17</v>
      </c>
      <c r="K124" s="2"/>
    </row>
    <row r="125" spans="1:11" x14ac:dyDescent="0.3">
      <c r="A125">
        <f t="shared" si="2"/>
        <v>124</v>
      </c>
      <c r="B125" t="s">
        <v>324</v>
      </c>
      <c r="C125" t="s">
        <v>325</v>
      </c>
      <c r="D125" t="s">
        <v>23</v>
      </c>
      <c r="E125" t="s">
        <v>323</v>
      </c>
      <c r="H125" s="2"/>
      <c r="J125" t="s">
        <v>24</v>
      </c>
      <c r="K125" s="2"/>
    </row>
    <row r="126" spans="1:11" x14ac:dyDescent="0.3">
      <c r="A126">
        <f t="shared" si="2"/>
        <v>125</v>
      </c>
      <c r="B126" t="s">
        <v>326</v>
      </c>
      <c r="C126" t="s">
        <v>327</v>
      </c>
      <c r="D126" t="s">
        <v>23</v>
      </c>
      <c r="E126" t="s">
        <v>323</v>
      </c>
      <c r="F126" t="s">
        <v>45</v>
      </c>
      <c r="H126" s="2"/>
      <c r="J126" t="s">
        <v>17</v>
      </c>
      <c r="K126" s="2"/>
    </row>
    <row r="127" spans="1:11" x14ac:dyDescent="0.3">
      <c r="A127">
        <f t="shared" si="2"/>
        <v>126</v>
      </c>
      <c r="B127" t="s">
        <v>328</v>
      </c>
      <c r="C127" t="s">
        <v>329</v>
      </c>
      <c r="D127" t="s">
        <v>23</v>
      </c>
      <c r="E127" t="s">
        <v>323</v>
      </c>
      <c r="F127" t="s">
        <v>45</v>
      </c>
      <c r="H127" s="2"/>
      <c r="J127" t="s">
        <v>17</v>
      </c>
      <c r="K127" s="2"/>
    </row>
    <row r="128" spans="1:11" x14ac:dyDescent="0.3">
      <c r="A128">
        <f t="shared" si="2"/>
        <v>127</v>
      </c>
      <c r="B128" t="s">
        <v>330</v>
      </c>
      <c r="C128" t="s">
        <v>331</v>
      </c>
      <c r="D128" t="s">
        <v>23</v>
      </c>
      <c r="E128" t="s">
        <v>332</v>
      </c>
      <c r="F128" t="s">
        <v>37</v>
      </c>
      <c r="H128" s="2"/>
      <c r="J128" t="s">
        <v>17</v>
      </c>
      <c r="K128" s="2"/>
    </row>
    <row r="129" spans="1:11" x14ac:dyDescent="0.3">
      <c r="A129">
        <f t="shared" si="2"/>
        <v>128</v>
      </c>
      <c r="B129" t="s">
        <v>333</v>
      </c>
      <c r="C129" t="s">
        <v>334</v>
      </c>
      <c r="D129" t="s">
        <v>23</v>
      </c>
      <c r="E129" t="s">
        <v>335</v>
      </c>
      <c r="F129" t="s">
        <v>37</v>
      </c>
      <c r="H129" s="2"/>
      <c r="J129" t="s">
        <v>17</v>
      </c>
      <c r="K129" s="2"/>
    </row>
    <row r="130" spans="1:11" x14ac:dyDescent="0.3">
      <c r="A130">
        <f t="shared" ref="A130:A193" si="3">IF(B130="","",ROW()-1)</f>
        <v>129</v>
      </c>
      <c r="B130" t="s">
        <v>336</v>
      </c>
      <c r="C130" t="s">
        <v>337</v>
      </c>
      <c r="D130" t="s">
        <v>23</v>
      </c>
      <c r="E130" t="s">
        <v>338</v>
      </c>
      <c r="H130" s="2"/>
      <c r="J130" t="s">
        <v>17</v>
      </c>
      <c r="K130" s="2"/>
    </row>
    <row r="131" spans="1:11" x14ac:dyDescent="0.3">
      <c r="A131">
        <f t="shared" si="3"/>
        <v>130</v>
      </c>
      <c r="B131" t="s">
        <v>339</v>
      </c>
      <c r="C131" t="s">
        <v>340</v>
      </c>
      <c r="D131" t="s">
        <v>23</v>
      </c>
      <c r="E131" t="s">
        <v>338</v>
      </c>
      <c r="H131" s="2"/>
      <c r="J131" t="s">
        <v>17</v>
      </c>
      <c r="K131" s="2"/>
    </row>
    <row r="132" spans="1:11" x14ac:dyDescent="0.3">
      <c r="A132">
        <f t="shared" si="3"/>
        <v>131</v>
      </c>
      <c r="B132" t="s">
        <v>341</v>
      </c>
      <c r="C132" t="s">
        <v>342</v>
      </c>
      <c r="D132" t="s">
        <v>23</v>
      </c>
      <c r="E132" t="s">
        <v>338</v>
      </c>
      <c r="H132" s="2"/>
      <c r="J132" t="s">
        <v>17</v>
      </c>
      <c r="K132" s="2"/>
    </row>
    <row r="133" spans="1:11" x14ac:dyDescent="0.3">
      <c r="A133">
        <f t="shared" si="3"/>
        <v>132</v>
      </c>
      <c r="B133" t="s">
        <v>343</v>
      </c>
      <c r="C133" t="s">
        <v>344</v>
      </c>
      <c r="D133" t="s">
        <v>23</v>
      </c>
      <c r="E133" t="s">
        <v>338</v>
      </c>
      <c r="H133" s="2"/>
      <c r="J133" t="s">
        <v>17</v>
      </c>
      <c r="K133" s="2"/>
    </row>
    <row r="134" spans="1:11" x14ac:dyDescent="0.3">
      <c r="A134">
        <f t="shared" si="3"/>
        <v>133</v>
      </c>
      <c r="B134" t="s">
        <v>345</v>
      </c>
      <c r="C134" t="s">
        <v>346</v>
      </c>
      <c r="D134" t="s">
        <v>23</v>
      </c>
      <c r="E134" t="s">
        <v>338</v>
      </c>
      <c r="H134" s="2"/>
      <c r="J134" t="s">
        <v>17</v>
      </c>
      <c r="K134" s="2"/>
    </row>
    <row r="135" spans="1:11" x14ac:dyDescent="0.3">
      <c r="A135">
        <f t="shared" si="3"/>
        <v>134</v>
      </c>
      <c r="B135" t="s">
        <v>347</v>
      </c>
      <c r="C135" t="s">
        <v>348</v>
      </c>
      <c r="D135" t="s">
        <v>23</v>
      </c>
      <c r="E135" t="s">
        <v>338</v>
      </c>
      <c r="H135" s="2"/>
      <c r="J135" t="s">
        <v>17</v>
      </c>
      <c r="K135" s="2"/>
    </row>
    <row r="136" spans="1:11" x14ac:dyDescent="0.3">
      <c r="A136">
        <f t="shared" si="3"/>
        <v>135</v>
      </c>
      <c r="B136" t="s">
        <v>349</v>
      </c>
      <c r="C136" t="s">
        <v>350</v>
      </c>
      <c r="D136" t="s">
        <v>23</v>
      </c>
      <c r="E136" t="s">
        <v>338</v>
      </c>
      <c r="H136" s="2"/>
      <c r="J136" t="s">
        <v>17</v>
      </c>
      <c r="K136" s="2"/>
    </row>
    <row r="137" spans="1:11" x14ac:dyDescent="0.3">
      <c r="A137">
        <f t="shared" si="3"/>
        <v>136</v>
      </c>
      <c r="B137" t="s">
        <v>351</v>
      </c>
      <c r="C137" t="s">
        <v>352</v>
      </c>
      <c r="D137" t="s">
        <v>23</v>
      </c>
      <c r="E137" t="s">
        <v>338</v>
      </c>
      <c r="H137" s="2"/>
      <c r="J137" t="s">
        <v>17</v>
      </c>
      <c r="K137" s="2"/>
    </row>
    <row r="138" spans="1:11" x14ac:dyDescent="0.3">
      <c r="A138">
        <f t="shared" si="3"/>
        <v>137</v>
      </c>
      <c r="B138" t="s">
        <v>353</v>
      </c>
      <c r="C138" t="s">
        <v>354</v>
      </c>
      <c r="D138" t="s">
        <v>49</v>
      </c>
      <c r="E138" t="s">
        <v>355</v>
      </c>
      <c r="H138" s="2"/>
      <c r="J138" t="s">
        <v>17</v>
      </c>
      <c r="K138" s="2">
        <v>46262</v>
      </c>
    </row>
    <row r="139" spans="1:11" x14ac:dyDescent="0.3">
      <c r="A139">
        <f t="shared" si="3"/>
        <v>138</v>
      </c>
      <c r="B139" t="s">
        <v>356</v>
      </c>
      <c r="C139" t="s">
        <v>357</v>
      </c>
      <c r="D139" t="s">
        <v>23</v>
      </c>
      <c r="E139" t="s">
        <v>358</v>
      </c>
      <c r="H139" s="2"/>
      <c r="J139" t="s">
        <v>17</v>
      </c>
      <c r="K139" s="2"/>
    </row>
    <row r="140" spans="1:11" x14ac:dyDescent="0.3">
      <c r="A140">
        <f t="shared" si="3"/>
        <v>139</v>
      </c>
      <c r="B140" t="s">
        <v>359</v>
      </c>
      <c r="C140" t="s">
        <v>360</v>
      </c>
      <c r="D140" t="s">
        <v>23</v>
      </c>
      <c r="E140" t="s">
        <v>358</v>
      </c>
      <c r="H140" s="2"/>
      <c r="J140" t="s">
        <v>17</v>
      </c>
      <c r="K140" s="2"/>
    </row>
    <row r="141" spans="1:11" x14ac:dyDescent="0.3">
      <c r="A141">
        <f t="shared" si="3"/>
        <v>140</v>
      </c>
      <c r="B141" t="s">
        <v>361</v>
      </c>
      <c r="C141" t="s">
        <v>362</v>
      </c>
      <c r="D141" t="s">
        <v>55</v>
      </c>
      <c r="E141" t="s">
        <v>358</v>
      </c>
      <c r="H141" s="2"/>
      <c r="J141" t="s">
        <v>24</v>
      </c>
      <c r="K141" s="2"/>
    </row>
    <row r="142" spans="1:11" x14ac:dyDescent="0.3">
      <c r="A142">
        <f t="shared" si="3"/>
        <v>141</v>
      </c>
      <c r="B142" t="s">
        <v>363</v>
      </c>
      <c r="C142" t="s">
        <v>364</v>
      </c>
      <c r="D142" t="s">
        <v>14</v>
      </c>
      <c r="E142" t="s">
        <v>365</v>
      </c>
      <c r="H142" s="2"/>
      <c r="J142" t="s">
        <v>17</v>
      </c>
      <c r="K142" s="2"/>
    </row>
    <row r="143" spans="1:11" x14ac:dyDescent="0.3">
      <c r="A143">
        <f t="shared" si="3"/>
        <v>142</v>
      </c>
      <c r="B143" t="s">
        <v>366</v>
      </c>
      <c r="C143" t="s">
        <v>367</v>
      </c>
      <c r="D143" t="s">
        <v>14</v>
      </c>
      <c r="E143" t="s">
        <v>365</v>
      </c>
      <c r="H143" s="2"/>
      <c r="J143" t="s">
        <v>24</v>
      </c>
      <c r="K143" s="2"/>
    </row>
    <row r="144" spans="1:11" x14ac:dyDescent="0.3">
      <c r="A144">
        <f t="shared" si="3"/>
        <v>143</v>
      </c>
      <c r="B144" t="s">
        <v>368</v>
      </c>
      <c r="C144" t="s">
        <v>369</v>
      </c>
      <c r="D144" t="s">
        <v>23</v>
      </c>
      <c r="E144" t="s">
        <v>370</v>
      </c>
      <c r="F144" t="s">
        <v>45</v>
      </c>
      <c r="H144" s="2"/>
      <c r="J144" t="s">
        <v>17</v>
      </c>
      <c r="K144" s="2"/>
    </row>
    <row r="145" spans="1:11" x14ac:dyDescent="0.3">
      <c r="A145">
        <f t="shared" si="3"/>
        <v>144</v>
      </c>
      <c r="B145" t="s">
        <v>371</v>
      </c>
      <c r="C145" t="s">
        <v>372</v>
      </c>
      <c r="D145" t="s">
        <v>14</v>
      </c>
      <c r="E145" t="s">
        <v>373</v>
      </c>
      <c r="F145" t="s">
        <v>45</v>
      </c>
      <c r="H145" s="2"/>
      <c r="J145" t="s">
        <v>24</v>
      </c>
      <c r="K145" s="2" t="s">
        <v>374</v>
      </c>
    </row>
    <row r="146" spans="1:11" x14ac:dyDescent="0.3">
      <c r="A146">
        <f t="shared" si="3"/>
        <v>145</v>
      </c>
      <c r="B146" t="s">
        <v>375</v>
      </c>
      <c r="C146" t="s">
        <v>376</v>
      </c>
      <c r="D146" t="s">
        <v>55</v>
      </c>
      <c r="E146" t="s">
        <v>373</v>
      </c>
      <c r="F146" t="s">
        <v>45</v>
      </c>
      <c r="H146" s="2"/>
      <c r="J146" t="s">
        <v>17</v>
      </c>
      <c r="K146" s="2" t="s">
        <v>377</v>
      </c>
    </row>
    <row r="147" spans="1:11" x14ac:dyDescent="0.3">
      <c r="A147">
        <f t="shared" si="3"/>
        <v>146</v>
      </c>
      <c r="B147" t="s">
        <v>378</v>
      </c>
      <c r="C147" t="s">
        <v>379</v>
      </c>
      <c r="D147" t="s">
        <v>14</v>
      </c>
      <c r="E147" t="s">
        <v>380</v>
      </c>
      <c r="H147" s="2"/>
      <c r="J147" t="s">
        <v>17</v>
      </c>
      <c r="K147" s="2"/>
    </row>
    <row r="148" spans="1:11" x14ac:dyDescent="0.3">
      <c r="A148">
        <f t="shared" si="3"/>
        <v>147</v>
      </c>
      <c r="B148" t="s">
        <v>381</v>
      </c>
      <c r="C148" t="s">
        <v>382</v>
      </c>
      <c r="D148" t="s">
        <v>14</v>
      </c>
      <c r="E148" t="s">
        <v>380</v>
      </c>
      <c r="H148" s="2"/>
      <c r="J148" t="s">
        <v>17</v>
      </c>
      <c r="K148" s="2"/>
    </row>
    <row r="149" spans="1:11" x14ac:dyDescent="0.3">
      <c r="A149">
        <f t="shared" si="3"/>
        <v>148</v>
      </c>
      <c r="B149" t="s">
        <v>383</v>
      </c>
      <c r="C149" t="s">
        <v>384</v>
      </c>
      <c r="D149" t="s">
        <v>14</v>
      </c>
      <c r="E149" t="s">
        <v>380</v>
      </c>
      <c r="H149" s="2"/>
      <c r="J149" t="s">
        <v>17</v>
      </c>
      <c r="K149" s="2"/>
    </row>
    <row r="150" spans="1:11" x14ac:dyDescent="0.3">
      <c r="A150">
        <f t="shared" si="3"/>
        <v>149</v>
      </c>
      <c r="B150" t="s">
        <v>385</v>
      </c>
      <c r="C150" t="s">
        <v>386</v>
      </c>
      <c r="D150" t="s">
        <v>14</v>
      </c>
      <c r="E150" t="s">
        <v>380</v>
      </c>
      <c r="H150" s="2"/>
      <c r="J150" t="s">
        <v>17</v>
      </c>
      <c r="K150" s="2"/>
    </row>
    <row r="151" spans="1:11" x14ac:dyDescent="0.3">
      <c r="A151">
        <f t="shared" si="3"/>
        <v>150</v>
      </c>
      <c r="B151" t="s">
        <v>387</v>
      </c>
      <c r="C151" t="s">
        <v>388</v>
      </c>
      <c r="D151" t="s">
        <v>23</v>
      </c>
      <c r="E151" t="s">
        <v>389</v>
      </c>
      <c r="F151" t="s">
        <v>41</v>
      </c>
      <c r="H151" s="2"/>
      <c r="J151" t="s">
        <v>17</v>
      </c>
      <c r="K151" s="2"/>
    </row>
    <row r="152" spans="1:11" x14ac:dyDescent="0.3">
      <c r="A152">
        <f t="shared" si="3"/>
        <v>151</v>
      </c>
      <c r="B152" t="s">
        <v>390</v>
      </c>
      <c r="C152" t="s">
        <v>391</v>
      </c>
      <c r="D152" t="s">
        <v>55</v>
      </c>
      <c r="E152" t="s">
        <v>392</v>
      </c>
      <c r="F152" t="s">
        <v>45</v>
      </c>
      <c r="H152" s="2"/>
      <c r="J152" t="s">
        <v>17</v>
      </c>
      <c r="K152" s="2" t="s">
        <v>377</v>
      </c>
    </row>
    <row r="153" spans="1:11" x14ac:dyDescent="0.3">
      <c r="A153">
        <f t="shared" si="3"/>
        <v>152</v>
      </c>
      <c r="B153" t="s">
        <v>393</v>
      </c>
      <c r="C153" t="s">
        <v>394</v>
      </c>
      <c r="D153" t="s">
        <v>55</v>
      </c>
      <c r="E153" t="s">
        <v>392</v>
      </c>
      <c r="F153" t="s">
        <v>45</v>
      </c>
      <c r="H153" s="2"/>
      <c r="J153" t="s">
        <v>17</v>
      </c>
      <c r="K153" s="2" t="s">
        <v>377</v>
      </c>
    </row>
    <row r="154" spans="1:11" x14ac:dyDescent="0.3">
      <c r="A154">
        <f t="shared" si="3"/>
        <v>153</v>
      </c>
      <c r="B154" t="s">
        <v>395</v>
      </c>
      <c r="C154" t="s">
        <v>396</v>
      </c>
      <c r="D154" t="s">
        <v>55</v>
      </c>
      <c r="E154" t="s">
        <v>392</v>
      </c>
      <c r="F154" t="s">
        <v>45</v>
      </c>
      <c r="H154" s="2"/>
      <c r="J154" t="s">
        <v>17</v>
      </c>
      <c r="K154" s="2" t="s">
        <v>377</v>
      </c>
    </row>
    <row r="155" spans="1:11" x14ac:dyDescent="0.3">
      <c r="A155">
        <f t="shared" si="3"/>
        <v>154</v>
      </c>
      <c r="B155" t="s">
        <v>397</v>
      </c>
      <c r="C155" t="s">
        <v>398</v>
      </c>
      <c r="D155" t="s">
        <v>55</v>
      </c>
      <c r="E155" t="s">
        <v>392</v>
      </c>
      <c r="F155" t="s">
        <v>45</v>
      </c>
      <c r="H155" s="2"/>
      <c r="J155" t="s">
        <v>17</v>
      </c>
      <c r="K155" s="2" t="s">
        <v>377</v>
      </c>
    </row>
    <row r="156" spans="1:11" x14ac:dyDescent="0.3">
      <c r="A156">
        <f t="shared" si="3"/>
        <v>155</v>
      </c>
      <c r="B156" t="s">
        <v>399</v>
      </c>
      <c r="C156" t="s">
        <v>400</v>
      </c>
      <c r="D156" t="s">
        <v>23</v>
      </c>
      <c r="E156" t="s">
        <v>401</v>
      </c>
      <c r="F156" t="s">
        <v>41</v>
      </c>
      <c r="H156" s="2"/>
      <c r="J156" t="s">
        <v>17</v>
      </c>
      <c r="K156" s="2"/>
    </row>
    <row r="157" spans="1:11" x14ac:dyDescent="0.3">
      <c r="A157">
        <f t="shared" si="3"/>
        <v>156</v>
      </c>
      <c r="B157" t="s">
        <v>402</v>
      </c>
      <c r="C157" t="s">
        <v>403</v>
      </c>
      <c r="D157" t="s">
        <v>23</v>
      </c>
      <c r="E157" t="s">
        <v>404</v>
      </c>
      <c r="H157" s="2"/>
      <c r="J157" t="s">
        <v>17</v>
      </c>
      <c r="K157" s="2"/>
    </row>
    <row r="158" spans="1:11" x14ac:dyDescent="0.3">
      <c r="A158">
        <f t="shared" si="3"/>
        <v>157</v>
      </c>
      <c r="B158" t="s">
        <v>405</v>
      </c>
      <c r="C158" t="s">
        <v>406</v>
      </c>
      <c r="D158" t="s">
        <v>14</v>
      </c>
      <c r="E158" t="s">
        <v>407</v>
      </c>
      <c r="H158" s="2"/>
      <c r="J158" t="s">
        <v>17</v>
      </c>
      <c r="K158" s="2"/>
    </row>
    <row r="159" spans="1:11" x14ac:dyDescent="0.3">
      <c r="A159">
        <f t="shared" si="3"/>
        <v>158</v>
      </c>
      <c r="B159" t="s">
        <v>408</v>
      </c>
      <c r="C159" t="s">
        <v>409</v>
      </c>
      <c r="D159" t="s">
        <v>23</v>
      </c>
      <c r="E159" t="s">
        <v>407</v>
      </c>
      <c r="H159" s="2"/>
      <c r="J159" t="s">
        <v>17</v>
      </c>
      <c r="K159" s="2"/>
    </row>
    <row r="160" spans="1:11" x14ac:dyDescent="0.3">
      <c r="A160">
        <f t="shared" si="3"/>
        <v>159</v>
      </c>
      <c r="B160" t="s">
        <v>410</v>
      </c>
      <c r="C160" t="s">
        <v>411</v>
      </c>
      <c r="D160" t="s">
        <v>23</v>
      </c>
      <c r="E160" t="s">
        <v>412</v>
      </c>
      <c r="H160" s="2"/>
      <c r="J160" t="s">
        <v>17</v>
      </c>
      <c r="K160" s="2"/>
    </row>
    <row r="161" spans="1:11" x14ac:dyDescent="0.3">
      <c r="A161">
        <f t="shared" si="3"/>
        <v>160</v>
      </c>
      <c r="B161" t="s">
        <v>413</v>
      </c>
      <c r="C161" t="s">
        <v>414</v>
      </c>
      <c r="D161" t="s">
        <v>23</v>
      </c>
      <c r="E161" t="s">
        <v>412</v>
      </c>
      <c r="H161" s="2"/>
      <c r="J161" t="s">
        <v>17</v>
      </c>
      <c r="K161" s="2"/>
    </row>
    <row r="162" spans="1:11" x14ac:dyDescent="0.3">
      <c r="A162">
        <f t="shared" si="3"/>
        <v>161</v>
      </c>
      <c r="B162" t="s">
        <v>415</v>
      </c>
      <c r="C162" t="s">
        <v>416</v>
      </c>
      <c r="D162" t="s">
        <v>23</v>
      </c>
      <c r="E162" t="s">
        <v>412</v>
      </c>
      <c r="H162" s="2"/>
      <c r="J162" t="s">
        <v>17</v>
      </c>
      <c r="K162" s="2"/>
    </row>
    <row r="163" spans="1:11" x14ac:dyDescent="0.3">
      <c r="A163">
        <f t="shared" si="3"/>
        <v>162</v>
      </c>
      <c r="B163" t="s">
        <v>417</v>
      </c>
      <c r="C163" t="s">
        <v>418</v>
      </c>
      <c r="D163" t="s">
        <v>14</v>
      </c>
      <c r="E163" t="s">
        <v>419</v>
      </c>
      <c r="H163" s="2"/>
      <c r="J163" t="s">
        <v>17</v>
      </c>
      <c r="K163" s="2"/>
    </row>
    <row r="164" spans="1:11" x14ac:dyDescent="0.3">
      <c r="A164">
        <f t="shared" si="3"/>
        <v>163</v>
      </c>
      <c r="B164" t="s">
        <v>420</v>
      </c>
      <c r="C164" t="s">
        <v>421</v>
      </c>
      <c r="D164" t="s">
        <v>23</v>
      </c>
      <c r="E164" t="s">
        <v>422</v>
      </c>
      <c r="H164" s="2"/>
      <c r="J164" t="s">
        <v>24</v>
      </c>
      <c r="K164" s="2"/>
    </row>
    <row r="165" spans="1:11" x14ac:dyDescent="0.3">
      <c r="A165">
        <f t="shared" si="3"/>
        <v>164</v>
      </c>
      <c r="B165" t="s">
        <v>423</v>
      </c>
      <c r="C165" t="s">
        <v>424</v>
      </c>
      <c r="D165" t="s">
        <v>14</v>
      </c>
      <c r="E165" t="s">
        <v>425</v>
      </c>
      <c r="H165" s="2"/>
      <c r="J165" t="s">
        <v>17</v>
      </c>
      <c r="K165" s="2"/>
    </row>
    <row r="166" spans="1:11" x14ac:dyDescent="0.3">
      <c r="A166">
        <f t="shared" si="3"/>
        <v>165</v>
      </c>
      <c r="B166" t="s">
        <v>426</v>
      </c>
      <c r="C166" t="s">
        <v>427</v>
      </c>
      <c r="D166" t="s">
        <v>58</v>
      </c>
      <c r="E166" t="s">
        <v>428</v>
      </c>
      <c r="H166" s="2"/>
      <c r="J166" t="s">
        <v>17</v>
      </c>
      <c r="K166" s="2"/>
    </row>
    <row r="167" spans="1:11" x14ac:dyDescent="0.3">
      <c r="A167">
        <f t="shared" si="3"/>
        <v>166</v>
      </c>
      <c r="B167" t="s">
        <v>429</v>
      </c>
      <c r="C167" t="s">
        <v>430</v>
      </c>
      <c r="D167" t="s">
        <v>14</v>
      </c>
      <c r="E167" t="s">
        <v>431</v>
      </c>
      <c r="F167" t="s">
        <v>37</v>
      </c>
      <c r="H167" s="2"/>
      <c r="J167" t="s">
        <v>17</v>
      </c>
      <c r="K167" s="2"/>
    </row>
    <row r="168" spans="1:11" x14ac:dyDescent="0.3">
      <c r="A168">
        <f t="shared" si="3"/>
        <v>167</v>
      </c>
      <c r="B168" t="s">
        <v>432</v>
      </c>
      <c r="C168" t="s">
        <v>433</v>
      </c>
      <c r="D168" t="s">
        <v>58</v>
      </c>
      <c r="E168" t="s">
        <v>431</v>
      </c>
      <c r="F168" t="s">
        <v>37</v>
      </c>
      <c r="H168" s="2"/>
      <c r="J168" t="s">
        <v>24</v>
      </c>
      <c r="K168" s="2"/>
    </row>
    <row r="169" spans="1:11" x14ac:dyDescent="0.3">
      <c r="A169">
        <f t="shared" si="3"/>
        <v>168</v>
      </c>
      <c r="B169" t="s">
        <v>434</v>
      </c>
      <c r="C169" t="s">
        <v>435</v>
      </c>
      <c r="D169" t="s">
        <v>23</v>
      </c>
      <c r="E169" t="s">
        <v>431</v>
      </c>
      <c r="F169" t="s">
        <v>37</v>
      </c>
      <c r="H169" s="2"/>
      <c r="J169" t="s">
        <v>17</v>
      </c>
      <c r="K169" s="2"/>
    </row>
    <row r="170" spans="1:11" x14ac:dyDescent="0.3">
      <c r="A170">
        <f t="shared" si="3"/>
        <v>169</v>
      </c>
      <c r="B170" t="s">
        <v>436</v>
      </c>
      <c r="C170" t="s">
        <v>437</v>
      </c>
      <c r="D170" t="s">
        <v>23</v>
      </c>
      <c r="E170" t="s">
        <v>431</v>
      </c>
      <c r="H170" s="2"/>
      <c r="J170" t="s">
        <v>17</v>
      </c>
      <c r="K170" s="2"/>
    </row>
    <row r="171" spans="1:11" x14ac:dyDescent="0.3">
      <c r="A171">
        <f t="shared" si="3"/>
        <v>170</v>
      </c>
      <c r="B171" t="s">
        <v>438</v>
      </c>
      <c r="C171" t="s">
        <v>439</v>
      </c>
      <c r="D171" t="s">
        <v>23</v>
      </c>
      <c r="E171" t="s">
        <v>440</v>
      </c>
      <c r="F171" t="s">
        <v>41</v>
      </c>
      <c r="H171" s="2"/>
      <c r="J171" t="s">
        <v>24</v>
      </c>
      <c r="K171" s="2"/>
    </row>
    <row r="172" spans="1:11" x14ac:dyDescent="0.3">
      <c r="A172">
        <f t="shared" si="3"/>
        <v>171</v>
      </c>
      <c r="B172" t="s">
        <v>441</v>
      </c>
      <c r="C172" t="s">
        <v>442</v>
      </c>
      <c r="D172" t="s">
        <v>23</v>
      </c>
      <c r="E172" t="s">
        <v>440</v>
      </c>
      <c r="F172" t="s">
        <v>41</v>
      </c>
      <c r="H172" s="2"/>
      <c r="J172" t="s">
        <v>17</v>
      </c>
      <c r="K172" s="2"/>
    </row>
    <row r="173" spans="1:11" x14ac:dyDescent="0.3">
      <c r="A173">
        <f t="shared" si="3"/>
        <v>172</v>
      </c>
      <c r="B173" t="s">
        <v>443</v>
      </c>
      <c r="C173" t="s">
        <v>444</v>
      </c>
      <c r="D173" t="s">
        <v>23</v>
      </c>
      <c r="E173" t="s">
        <v>445</v>
      </c>
      <c r="H173" s="2"/>
      <c r="J173" t="s">
        <v>17</v>
      </c>
      <c r="K173" s="2"/>
    </row>
    <row r="174" spans="1:11" x14ac:dyDescent="0.3">
      <c r="A174">
        <f t="shared" si="3"/>
        <v>173</v>
      </c>
      <c r="B174" t="s">
        <v>446</v>
      </c>
      <c r="C174" t="s">
        <v>447</v>
      </c>
      <c r="D174" t="s">
        <v>23</v>
      </c>
      <c r="E174" t="s">
        <v>448</v>
      </c>
      <c r="H174" s="2"/>
      <c r="J174" t="s">
        <v>24</v>
      </c>
      <c r="K174" s="2"/>
    </row>
    <row r="175" spans="1:11" x14ac:dyDescent="0.3">
      <c r="A175">
        <f t="shared" si="3"/>
        <v>174</v>
      </c>
      <c r="B175" t="s">
        <v>449</v>
      </c>
      <c r="C175" t="s">
        <v>450</v>
      </c>
      <c r="D175" t="s">
        <v>23</v>
      </c>
      <c r="E175" t="s">
        <v>451</v>
      </c>
      <c r="H175" s="2"/>
      <c r="J175" t="s">
        <v>17</v>
      </c>
      <c r="K175" s="2"/>
    </row>
    <row r="176" spans="1:11" x14ac:dyDescent="0.3">
      <c r="A176">
        <f t="shared" si="3"/>
        <v>175</v>
      </c>
      <c r="B176" t="s">
        <v>452</v>
      </c>
      <c r="C176" t="s">
        <v>453</v>
      </c>
      <c r="D176" t="s">
        <v>14</v>
      </c>
      <c r="E176" t="s">
        <v>454</v>
      </c>
      <c r="F176" t="s">
        <v>41</v>
      </c>
      <c r="H176" s="2"/>
      <c r="J176" t="s">
        <v>17</v>
      </c>
      <c r="K176" s="2">
        <v>46246</v>
      </c>
    </row>
    <row r="177" spans="1:11" x14ac:dyDescent="0.3">
      <c r="A177">
        <f t="shared" si="3"/>
        <v>176</v>
      </c>
      <c r="B177" t="s">
        <v>455</v>
      </c>
      <c r="C177" t="s">
        <v>456</v>
      </c>
      <c r="D177" t="s">
        <v>23</v>
      </c>
      <c r="E177" t="s">
        <v>454</v>
      </c>
      <c r="F177" t="s">
        <v>41</v>
      </c>
      <c r="H177" s="2"/>
      <c r="J177" t="s">
        <v>17</v>
      </c>
      <c r="K177" s="2"/>
    </row>
    <row r="178" spans="1:11" x14ac:dyDescent="0.3">
      <c r="A178">
        <f t="shared" si="3"/>
        <v>177</v>
      </c>
      <c r="B178" t="s">
        <v>457</v>
      </c>
      <c r="C178" t="s">
        <v>458</v>
      </c>
      <c r="D178" t="s">
        <v>55</v>
      </c>
      <c r="E178" t="s">
        <v>459</v>
      </c>
      <c r="H178" s="2"/>
      <c r="J178" t="s">
        <v>24</v>
      </c>
      <c r="K178" s="2"/>
    </row>
    <row r="179" spans="1:11" x14ac:dyDescent="0.3">
      <c r="A179">
        <f t="shared" si="3"/>
        <v>178</v>
      </c>
      <c r="B179" t="s">
        <v>460</v>
      </c>
      <c r="C179" t="s">
        <v>461</v>
      </c>
      <c r="D179" t="s">
        <v>23</v>
      </c>
      <c r="E179" t="s">
        <v>459</v>
      </c>
      <c r="F179" t="s">
        <v>45</v>
      </c>
      <c r="H179" s="2"/>
      <c r="J179" t="s">
        <v>17</v>
      </c>
      <c r="K179" s="2"/>
    </row>
    <row r="180" spans="1:11" x14ac:dyDescent="0.3">
      <c r="A180">
        <f t="shared" si="3"/>
        <v>179</v>
      </c>
      <c r="B180" t="s">
        <v>462</v>
      </c>
      <c r="C180" t="s">
        <v>463</v>
      </c>
      <c r="D180" t="s">
        <v>23</v>
      </c>
      <c r="E180" t="s">
        <v>459</v>
      </c>
      <c r="H180" s="2"/>
      <c r="J180" t="s">
        <v>17</v>
      </c>
      <c r="K180" s="2"/>
    </row>
    <row r="181" spans="1:11" x14ac:dyDescent="0.3">
      <c r="A181">
        <f t="shared" si="3"/>
        <v>180</v>
      </c>
      <c r="B181" t="s">
        <v>464</v>
      </c>
      <c r="C181" t="s">
        <v>465</v>
      </c>
      <c r="D181" t="s">
        <v>58</v>
      </c>
      <c r="E181" t="s">
        <v>459</v>
      </c>
      <c r="H181" s="2"/>
      <c r="J181" t="s">
        <v>17</v>
      </c>
      <c r="K181" s="2"/>
    </row>
    <row r="182" spans="1:11" x14ac:dyDescent="0.3">
      <c r="A182">
        <f t="shared" si="3"/>
        <v>181</v>
      </c>
      <c r="B182" t="s">
        <v>466</v>
      </c>
      <c r="C182" t="s">
        <v>467</v>
      </c>
      <c r="D182" t="s">
        <v>14</v>
      </c>
      <c r="E182" t="s">
        <v>459</v>
      </c>
      <c r="H182" s="2"/>
      <c r="J182" t="s">
        <v>17</v>
      </c>
      <c r="K182" s="2"/>
    </row>
    <row r="183" spans="1:11" x14ac:dyDescent="0.3">
      <c r="A183">
        <f t="shared" si="3"/>
        <v>182</v>
      </c>
      <c r="B183" t="s">
        <v>468</v>
      </c>
      <c r="C183" t="s">
        <v>469</v>
      </c>
      <c r="D183" t="s">
        <v>23</v>
      </c>
      <c r="E183" t="s">
        <v>459</v>
      </c>
      <c r="H183" s="2"/>
      <c r="J183" t="s">
        <v>24</v>
      </c>
      <c r="K183" s="2"/>
    </row>
    <row r="184" spans="1:11" x14ac:dyDescent="0.3">
      <c r="A184">
        <f t="shared" si="3"/>
        <v>183</v>
      </c>
      <c r="B184" t="s">
        <v>470</v>
      </c>
      <c r="C184" t="s">
        <v>471</v>
      </c>
      <c r="D184" t="s">
        <v>23</v>
      </c>
      <c r="E184" t="s">
        <v>472</v>
      </c>
      <c r="F184" t="s">
        <v>45</v>
      </c>
      <c r="H184" s="2"/>
      <c r="J184" t="s">
        <v>24</v>
      </c>
      <c r="K184" s="2"/>
    </row>
    <row r="185" spans="1:11" x14ac:dyDescent="0.3">
      <c r="A185">
        <f t="shared" si="3"/>
        <v>184</v>
      </c>
      <c r="B185" t="s">
        <v>473</v>
      </c>
      <c r="C185" t="s">
        <v>474</v>
      </c>
      <c r="D185" t="s">
        <v>23</v>
      </c>
      <c r="E185" t="s">
        <v>475</v>
      </c>
      <c r="F185" t="s">
        <v>45</v>
      </c>
      <c r="H185" s="2"/>
      <c r="J185" t="s">
        <v>17</v>
      </c>
      <c r="K185" s="2"/>
    </row>
    <row r="186" spans="1:11" x14ac:dyDescent="0.3">
      <c r="A186">
        <f t="shared" si="3"/>
        <v>185</v>
      </c>
      <c r="B186" t="s">
        <v>476</v>
      </c>
      <c r="C186" t="s">
        <v>477</v>
      </c>
      <c r="D186" t="s">
        <v>23</v>
      </c>
      <c r="E186" t="s">
        <v>475</v>
      </c>
      <c r="F186" t="s">
        <v>45</v>
      </c>
      <c r="H186" s="2"/>
      <c r="J186" t="s">
        <v>24</v>
      </c>
      <c r="K186" s="2"/>
    </row>
    <row r="187" spans="1:11" x14ac:dyDescent="0.3">
      <c r="A187">
        <f t="shared" si="3"/>
        <v>186</v>
      </c>
      <c r="B187" t="s">
        <v>478</v>
      </c>
      <c r="C187" t="s">
        <v>479</v>
      </c>
      <c r="D187" t="s">
        <v>23</v>
      </c>
      <c r="E187" t="s">
        <v>480</v>
      </c>
      <c r="F187" t="s">
        <v>37</v>
      </c>
      <c r="H187" s="2"/>
      <c r="J187" t="s">
        <v>24</v>
      </c>
      <c r="K187" s="2"/>
    </row>
    <row r="188" spans="1:11" x14ac:dyDescent="0.3">
      <c r="A188">
        <f t="shared" si="3"/>
        <v>187</v>
      </c>
      <c r="B188" t="s">
        <v>481</v>
      </c>
      <c r="C188" t="s">
        <v>482</v>
      </c>
      <c r="D188" t="s">
        <v>58</v>
      </c>
      <c r="E188" t="s">
        <v>483</v>
      </c>
      <c r="H188" s="2"/>
      <c r="J188" t="s">
        <v>24</v>
      </c>
      <c r="K188" s="2"/>
    </row>
    <row r="189" spans="1:11" x14ac:dyDescent="0.3">
      <c r="A189" t="str">
        <f t="shared" si="3"/>
        <v/>
      </c>
      <c r="H189" s="2"/>
      <c r="K189" s="2"/>
    </row>
    <row r="190" spans="1:11" x14ac:dyDescent="0.3">
      <c r="A190" t="str">
        <f t="shared" si="3"/>
        <v/>
      </c>
      <c r="H190" s="2"/>
      <c r="K190" s="2"/>
    </row>
    <row r="191" spans="1:11" x14ac:dyDescent="0.3">
      <c r="A191" t="str">
        <f t="shared" si="3"/>
        <v/>
      </c>
      <c r="H191" s="2"/>
      <c r="K191" s="2"/>
    </row>
    <row r="192" spans="1:11" x14ac:dyDescent="0.3">
      <c r="A192" t="str">
        <f t="shared" si="3"/>
        <v/>
      </c>
      <c r="H192" s="2"/>
      <c r="K192" s="2"/>
    </row>
    <row r="193" spans="1:11" x14ac:dyDescent="0.3">
      <c r="A193" t="str">
        <f t="shared" si="3"/>
        <v/>
      </c>
      <c r="H193" s="2"/>
      <c r="K193" s="2"/>
    </row>
    <row r="194" spans="1:11" x14ac:dyDescent="0.3">
      <c r="A194" t="str">
        <f t="shared" ref="A194:A257" si="4">IF(B194="","",ROW()-1)</f>
        <v/>
      </c>
      <c r="H194" s="2"/>
      <c r="K194" s="2"/>
    </row>
    <row r="195" spans="1:11" x14ac:dyDescent="0.3">
      <c r="A195" t="str">
        <f t="shared" si="4"/>
        <v/>
      </c>
      <c r="H195" s="2"/>
      <c r="K195" s="2"/>
    </row>
    <row r="196" spans="1:11" x14ac:dyDescent="0.3">
      <c r="A196" t="str">
        <f t="shared" si="4"/>
        <v/>
      </c>
      <c r="H196" s="2"/>
      <c r="K196" s="2"/>
    </row>
    <row r="197" spans="1:11" x14ac:dyDescent="0.3">
      <c r="A197" t="str">
        <f t="shared" si="4"/>
        <v/>
      </c>
      <c r="H197" s="2"/>
      <c r="K197" s="2"/>
    </row>
    <row r="198" spans="1:11" x14ac:dyDescent="0.3">
      <c r="A198" t="str">
        <f t="shared" si="4"/>
        <v/>
      </c>
      <c r="H198" s="2"/>
      <c r="K198" s="2"/>
    </row>
    <row r="199" spans="1:11" x14ac:dyDescent="0.3">
      <c r="A199" t="str">
        <f t="shared" si="4"/>
        <v/>
      </c>
      <c r="H199" s="2"/>
      <c r="K199" s="2"/>
    </row>
    <row r="200" spans="1:11" x14ac:dyDescent="0.3">
      <c r="A200" t="str">
        <f t="shared" si="4"/>
        <v/>
      </c>
      <c r="H200" s="2"/>
      <c r="K200" s="2"/>
    </row>
    <row r="201" spans="1:11" x14ac:dyDescent="0.3">
      <c r="A201" t="str">
        <f t="shared" si="4"/>
        <v/>
      </c>
      <c r="H201" s="2"/>
      <c r="K201" s="2"/>
    </row>
    <row r="202" spans="1:11" x14ac:dyDescent="0.3">
      <c r="A202" t="str">
        <f t="shared" si="4"/>
        <v/>
      </c>
      <c r="H202" s="2"/>
      <c r="K202" s="2"/>
    </row>
    <row r="203" spans="1:11" x14ac:dyDescent="0.3">
      <c r="A203" t="str">
        <f t="shared" si="4"/>
        <v/>
      </c>
      <c r="H203" s="2"/>
      <c r="K203" s="2"/>
    </row>
    <row r="204" spans="1:11" x14ac:dyDescent="0.3">
      <c r="A204" t="str">
        <f t="shared" si="4"/>
        <v/>
      </c>
      <c r="H204" s="2"/>
      <c r="K204" s="2"/>
    </row>
    <row r="205" spans="1:11" x14ac:dyDescent="0.3">
      <c r="A205" t="str">
        <f t="shared" si="4"/>
        <v/>
      </c>
      <c r="H205" s="2"/>
      <c r="K205" s="2"/>
    </row>
    <row r="206" spans="1:11" x14ac:dyDescent="0.3">
      <c r="A206" t="str">
        <f t="shared" si="4"/>
        <v/>
      </c>
      <c r="H206" s="2"/>
      <c r="K206" s="2"/>
    </row>
    <row r="207" spans="1:11" x14ac:dyDescent="0.3">
      <c r="A207" t="str">
        <f t="shared" si="4"/>
        <v/>
      </c>
      <c r="H207" s="2"/>
      <c r="K207" s="2"/>
    </row>
    <row r="208" spans="1:11" x14ac:dyDescent="0.3">
      <c r="A208" t="str">
        <f t="shared" si="4"/>
        <v/>
      </c>
      <c r="H208" s="2"/>
      <c r="K208" s="2"/>
    </row>
    <row r="209" spans="1:11" x14ac:dyDescent="0.3">
      <c r="A209" t="str">
        <f t="shared" si="4"/>
        <v/>
      </c>
      <c r="H209" s="2"/>
      <c r="K209" s="2"/>
    </row>
    <row r="210" spans="1:11" x14ac:dyDescent="0.3">
      <c r="A210" t="str">
        <f t="shared" si="4"/>
        <v/>
      </c>
      <c r="H210" s="2"/>
      <c r="K210" s="2"/>
    </row>
    <row r="211" spans="1:11" x14ac:dyDescent="0.3">
      <c r="A211" t="str">
        <f t="shared" si="4"/>
        <v/>
      </c>
      <c r="H211" s="2"/>
      <c r="K211" s="2"/>
    </row>
    <row r="212" spans="1:11" x14ac:dyDescent="0.3">
      <c r="A212" t="str">
        <f t="shared" si="4"/>
        <v/>
      </c>
      <c r="H212" s="2"/>
      <c r="K212" s="2"/>
    </row>
    <row r="213" spans="1:11" x14ac:dyDescent="0.3">
      <c r="A213" t="str">
        <f t="shared" si="4"/>
        <v/>
      </c>
      <c r="H213" s="2"/>
      <c r="K213" s="2"/>
    </row>
    <row r="214" spans="1:11" x14ac:dyDescent="0.3">
      <c r="A214" t="str">
        <f t="shared" si="4"/>
        <v/>
      </c>
      <c r="H214" s="2"/>
      <c r="K214" s="2"/>
    </row>
    <row r="215" spans="1:11" x14ac:dyDescent="0.3">
      <c r="A215" t="str">
        <f t="shared" si="4"/>
        <v/>
      </c>
      <c r="H215" s="2"/>
      <c r="K215" s="2"/>
    </row>
    <row r="216" spans="1:11" x14ac:dyDescent="0.3">
      <c r="A216" t="str">
        <f t="shared" si="4"/>
        <v/>
      </c>
      <c r="H216" s="2"/>
      <c r="K216" s="2"/>
    </row>
    <row r="217" spans="1:11" x14ac:dyDescent="0.3">
      <c r="A217" t="str">
        <f t="shared" si="4"/>
        <v/>
      </c>
      <c r="H217" s="2"/>
      <c r="K217" s="2"/>
    </row>
    <row r="218" spans="1:11" x14ac:dyDescent="0.3">
      <c r="A218" t="str">
        <f t="shared" si="4"/>
        <v/>
      </c>
      <c r="H218" s="2"/>
      <c r="K218" s="2"/>
    </row>
    <row r="219" spans="1:11" x14ac:dyDescent="0.3">
      <c r="A219" t="str">
        <f t="shared" si="4"/>
        <v/>
      </c>
      <c r="H219" s="2"/>
      <c r="K219" s="2"/>
    </row>
    <row r="220" spans="1:11" x14ac:dyDescent="0.3">
      <c r="A220" t="str">
        <f t="shared" si="4"/>
        <v/>
      </c>
      <c r="H220" s="2"/>
      <c r="K220" s="2"/>
    </row>
    <row r="221" spans="1:11" x14ac:dyDescent="0.3">
      <c r="A221" t="str">
        <f t="shared" si="4"/>
        <v/>
      </c>
      <c r="H221" s="2"/>
      <c r="K221" s="2"/>
    </row>
    <row r="222" spans="1:11" x14ac:dyDescent="0.3">
      <c r="A222" t="str">
        <f t="shared" si="4"/>
        <v/>
      </c>
      <c r="H222" s="2"/>
      <c r="K222" s="2"/>
    </row>
    <row r="223" spans="1:11" x14ac:dyDescent="0.3">
      <c r="A223" t="str">
        <f t="shared" si="4"/>
        <v/>
      </c>
      <c r="H223" s="2"/>
      <c r="K223" s="2"/>
    </row>
    <row r="224" spans="1:11" x14ac:dyDescent="0.3">
      <c r="A224" t="str">
        <f t="shared" si="4"/>
        <v/>
      </c>
      <c r="H224" s="2"/>
      <c r="K224" s="2"/>
    </row>
    <row r="225" spans="1:11" x14ac:dyDescent="0.3">
      <c r="A225" t="str">
        <f t="shared" si="4"/>
        <v/>
      </c>
      <c r="H225" s="2"/>
      <c r="K225" s="2"/>
    </row>
    <row r="226" spans="1:11" x14ac:dyDescent="0.3">
      <c r="A226" t="str">
        <f t="shared" si="4"/>
        <v/>
      </c>
      <c r="H226" s="2"/>
      <c r="K226" s="2"/>
    </row>
    <row r="227" spans="1:11" x14ac:dyDescent="0.3">
      <c r="A227" t="str">
        <f t="shared" si="4"/>
        <v/>
      </c>
      <c r="H227" s="2"/>
      <c r="K227" s="2"/>
    </row>
    <row r="228" spans="1:11" x14ac:dyDescent="0.3">
      <c r="A228" t="str">
        <f t="shared" si="4"/>
        <v/>
      </c>
      <c r="H228" s="2"/>
      <c r="K228" s="2"/>
    </row>
    <row r="229" spans="1:11" x14ac:dyDescent="0.3">
      <c r="A229" t="str">
        <f t="shared" si="4"/>
        <v/>
      </c>
      <c r="H229" s="2"/>
      <c r="K229" s="2"/>
    </row>
    <row r="230" spans="1:11" x14ac:dyDescent="0.3">
      <c r="A230" t="str">
        <f t="shared" si="4"/>
        <v/>
      </c>
      <c r="H230" s="2"/>
      <c r="K230" s="2"/>
    </row>
    <row r="231" spans="1:11" x14ac:dyDescent="0.3">
      <c r="A231" t="str">
        <f t="shared" si="4"/>
        <v/>
      </c>
      <c r="H231" s="2"/>
      <c r="K231" s="2"/>
    </row>
    <row r="232" spans="1:11" x14ac:dyDescent="0.3">
      <c r="A232" t="str">
        <f t="shared" si="4"/>
        <v/>
      </c>
      <c r="H232" s="2"/>
      <c r="K232" s="2"/>
    </row>
    <row r="233" spans="1:11" x14ac:dyDescent="0.3">
      <c r="A233" t="str">
        <f t="shared" si="4"/>
        <v/>
      </c>
      <c r="H233" s="2"/>
      <c r="K233" s="2"/>
    </row>
    <row r="234" spans="1:11" x14ac:dyDescent="0.3">
      <c r="A234" t="str">
        <f t="shared" si="4"/>
        <v/>
      </c>
      <c r="H234" s="2"/>
      <c r="K234" s="2"/>
    </row>
    <row r="235" spans="1:11" x14ac:dyDescent="0.3">
      <c r="A235" t="str">
        <f t="shared" si="4"/>
        <v/>
      </c>
      <c r="H235" s="2"/>
      <c r="K235" s="2"/>
    </row>
    <row r="236" spans="1:11" x14ac:dyDescent="0.3">
      <c r="A236" t="str">
        <f t="shared" si="4"/>
        <v/>
      </c>
      <c r="H236" s="2"/>
      <c r="K236" s="2"/>
    </row>
    <row r="237" spans="1:11" x14ac:dyDescent="0.3">
      <c r="A237" t="str">
        <f t="shared" si="4"/>
        <v/>
      </c>
      <c r="H237" s="2"/>
      <c r="K237" s="2"/>
    </row>
    <row r="238" spans="1:11" x14ac:dyDescent="0.3">
      <c r="A238" t="str">
        <f t="shared" si="4"/>
        <v/>
      </c>
      <c r="H238" s="2"/>
      <c r="K238" s="2"/>
    </row>
    <row r="239" spans="1:11" x14ac:dyDescent="0.3">
      <c r="A239" t="str">
        <f t="shared" si="4"/>
        <v/>
      </c>
      <c r="H239" s="2"/>
      <c r="K239" s="2"/>
    </row>
    <row r="240" spans="1:11" x14ac:dyDescent="0.3">
      <c r="A240" t="str">
        <f t="shared" si="4"/>
        <v/>
      </c>
      <c r="H240" s="2"/>
      <c r="K240" s="2"/>
    </row>
    <row r="241" spans="1:11" x14ac:dyDescent="0.3">
      <c r="A241" t="str">
        <f t="shared" si="4"/>
        <v/>
      </c>
      <c r="H241" s="2"/>
      <c r="K241" s="2"/>
    </row>
    <row r="242" spans="1:11" x14ac:dyDescent="0.3">
      <c r="A242" t="str">
        <f t="shared" si="4"/>
        <v/>
      </c>
      <c r="H242" s="2"/>
      <c r="K242" s="2"/>
    </row>
    <row r="243" spans="1:11" x14ac:dyDescent="0.3">
      <c r="A243" t="str">
        <f t="shared" si="4"/>
        <v/>
      </c>
      <c r="H243" s="2"/>
      <c r="K243" s="2"/>
    </row>
    <row r="244" spans="1:11" x14ac:dyDescent="0.3">
      <c r="A244" t="str">
        <f t="shared" si="4"/>
        <v/>
      </c>
      <c r="H244" s="2"/>
      <c r="K244" s="2"/>
    </row>
    <row r="245" spans="1:11" x14ac:dyDescent="0.3">
      <c r="A245" t="str">
        <f t="shared" si="4"/>
        <v/>
      </c>
      <c r="H245" s="2"/>
      <c r="K245" s="2"/>
    </row>
    <row r="246" spans="1:11" x14ac:dyDescent="0.3">
      <c r="A246" t="str">
        <f t="shared" si="4"/>
        <v/>
      </c>
      <c r="H246" s="2"/>
      <c r="K246" s="2"/>
    </row>
    <row r="247" spans="1:11" x14ac:dyDescent="0.3">
      <c r="A247" t="str">
        <f t="shared" si="4"/>
        <v/>
      </c>
      <c r="H247" s="2"/>
      <c r="K247" s="2"/>
    </row>
    <row r="248" spans="1:11" x14ac:dyDescent="0.3">
      <c r="A248" t="str">
        <f t="shared" si="4"/>
        <v/>
      </c>
      <c r="H248" s="2"/>
      <c r="K248" s="2"/>
    </row>
    <row r="249" spans="1:11" x14ac:dyDescent="0.3">
      <c r="A249" t="str">
        <f t="shared" si="4"/>
        <v/>
      </c>
      <c r="H249" s="2"/>
      <c r="K249" s="2"/>
    </row>
    <row r="250" spans="1:11" x14ac:dyDescent="0.3">
      <c r="A250" t="str">
        <f t="shared" si="4"/>
        <v/>
      </c>
      <c r="H250" s="2"/>
      <c r="K250" s="2"/>
    </row>
    <row r="251" spans="1:11" x14ac:dyDescent="0.3">
      <c r="A251" t="str">
        <f t="shared" si="4"/>
        <v/>
      </c>
      <c r="H251" s="2"/>
      <c r="K251" s="2"/>
    </row>
    <row r="252" spans="1:11" x14ac:dyDescent="0.3">
      <c r="A252" t="str">
        <f t="shared" si="4"/>
        <v/>
      </c>
      <c r="H252" s="2"/>
      <c r="K252" s="2"/>
    </row>
    <row r="253" spans="1:11" x14ac:dyDescent="0.3">
      <c r="A253" t="str">
        <f t="shared" si="4"/>
        <v/>
      </c>
      <c r="H253" s="2"/>
      <c r="K253" s="2"/>
    </row>
    <row r="254" spans="1:11" x14ac:dyDescent="0.3">
      <c r="A254" t="str">
        <f t="shared" si="4"/>
        <v/>
      </c>
      <c r="H254" s="2"/>
      <c r="K254" s="2"/>
    </row>
    <row r="255" spans="1:11" x14ac:dyDescent="0.3">
      <c r="A255" t="str">
        <f t="shared" si="4"/>
        <v/>
      </c>
      <c r="H255" s="2"/>
      <c r="K255" s="2"/>
    </row>
    <row r="256" spans="1:11" x14ac:dyDescent="0.3">
      <c r="A256" t="str">
        <f t="shared" si="4"/>
        <v/>
      </c>
      <c r="H256" s="2"/>
      <c r="K256" s="2"/>
    </row>
    <row r="257" spans="1:11" x14ac:dyDescent="0.3">
      <c r="A257" t="str">
        <f t="shared" si="4"/>
        <v/>
      </c>
      <c r="H257" s="2"/>
      <c r="K257" s="2"/>
    </row>
    <row r="258" spans="1:11" x14ac:dyDescent="0.3">
      <c r="A258" t="str">
        <f t="shared" ref="A258:A321" si="5">IF(B258="","",ROW()-1)</f>
        <v/>
      </c>
      <c r="H258" s="2"/>
      <c r="K258" s="2"/>
    </row>
    <row r="259" spans="1:11" x14ac:dyDescent="0.3">
      <c r="A259" t="str">
        <f t="shared" si="5"/>
        <v/>
      </c>
      <c r="H259" s="2"/>
      <c r="K259" s="2"/>
    </row>
    <row r="260" spans="1:11" x14ac:dyDescent="0.3">
      <c r="A260" t="str">
        <f t="shared" si="5"/>
        <v/>
      </c>
      <c r="H260" s="2"/>
      <c r="K260" s="2"/>
    </row>
    <row r="261" spans="1:11" x14ac:dyDescent="0.3">
      <c r="A261" t="str">
        <f t="shared" si="5"/>
        <v/>
      </c>
      <c r="H261" s="2"/>
      <c r="K261" s="2"/>
    </row>
    <row r="262" spans="1:11" x14ac:dyDescent="0.3">
      <c r="A262" t="str">
        <f t="shared" si="5"/>
        <v/>
      </c>
      <c r="H262" s="2"/>
      <c r="K262" s="2"/>
    </row>
    <row r="263" spans="1:11" x14ac:dyDescent="0.3">
      <c r="A263" t="str">
        <f t="shared" si="5"/>
        <v/>
      </c>
      <c r="H263" s="2"/>
      <c r="K263" s="2"/>
    </row>
    <row r="264" spans="1:11" x14ac:dyDescent="0.3">
      <c r="A264" t="str">
        <f t="shared" si="5"/>
        <v/>
      </c>
      <c r="H264" s="2"/>
      <c r="K264" s="2"/>
    </row>
    <row r="265" spans="1:11" x14ac:dyDescent="0.3">
      <c r="A265" t="str">
        <f t="shared" si="5"/>
        <v/>
      </c>
      <c r="H265" s="2"/>
      <c r="K265" s="2"/>
    </row>
    <row r="266" spans="1:11" x14ac:dyDescent="0.3">
      <c r="A266" t="str">
        <f t="shared" si="5"/>
        <v/>
      </c>
      <c r="H266" s="2"/>
      <c r="K266" s="2"/>
    </row>
    <row r="267" spans="1:11" x14ac:dyDescent="0.3">
      <c r="A267" t="str">
        <f t="shared" si="5"/>
        <v/>
      </c>
      <c r="H267" s="2"/>
      <c r="K267" s="2"/>
    </row>
    <row r="268" spans="1:11" x14ac:dyDescent="0.3">
      <c r="A268" t="str">
        <f t="shared" si="5"/>
        <v/>
      </c>
      <c r="H268" s="2"/>
      <c r="K268" s="2"/>
    </row>
    <row r="269" spans="1:11" x14ac:dyDescent="0.3">
      <c r="A269" t="str">
        <f t="shared" si="5"/>
        <v/>
      </c>
      <c r="H269" s="2"/>
      <c r="K269" s="2"/>
    </row>
    <row r="270" spans="1:11" x14ac:dyDescent="0.3">
      <c r="A270" t="str">
        <f t="shared" si="5"/>
        <v/>
      </c>
      <c r="H270" s="2"/>
      <c r="K270" s="2"/>
    </row>
    <row r="271" spans="1:11" x14ac:dyDescent="0.3">
      <c r="A271" t="str">
        <f t="shared" si="5"/>
        <v/>
      </c>
      <c r="H271" s="2"/>
      <c r="K271" s="2"/>
    </row>
    <row r="272" spans="1:11" x14ac:dyDescent="0.3">
      <c r="A272" t="str">
        <f t="shared" si="5"/>
        <v/>
      </c>
      <c r="H272" s="2"/>
      <c r="K272" s="2"/>
    </row>
    <row r="273" spans="1:11" x14ac:dyDescent="0.3">
      <c r="A273" t="str">
        <f t="shared" si="5"/>
        <v/>
      </c>
      <c r="H273" s="2"/>
      <c r="K273" s="2"/>
    </row>
    <row r="274" spans="1:11" x14ac:dyDescent="0.3">
      <c r="A274" t="str">
        <f t="shared" si="5"/>
        <v/>
      </c>
      <c r="H274" s="2"/>
      <c r="K274" s="2"/>
    </row>
    <row r="275" spans="1:11" x14ac:dyDescent="0.3">
      <c r="A275" t="str">
        <f t="shared" si="5"/>
        <v/>
      </c>
      <c r="H275" s="2"/>
      <c r="K275" s="2"/>
    </row>
    <row r="276" spans="1:11" x14ac:dyDescent="0.3">
      <c r="A276" t="str">
        <f t="shared" si="5"/>
        <v/>
      </c>
      <c r="H276" s="2"/>
      <c r="K276" s="2"/>
    </row>
    <row r="277" spans="1:11" x14ac:dyDescent="0.3">
      <c r="A277" t="str">
        <f t="shared" si="5"/>
        <v/>
      </c>
      <c r="H277" s="2"/>
      <c r="K277" s="2"/>
    </row>
    <row r="278" spans="1:11" x14ac:dyDescent="0.3">
      <c r="A278" t="str">
        <f t="shared" si="5"/>
        <v/>
      </c>
      <c r="H278" s="2"/>
      <c r="K278" s="2"/>
    </row>
    <row r="279" spans="1:11" x14ac:dyDescent="0.3">
      <c r="A279" t="str">
        <f t="shared" si="5"/>
        <v/>
      </c>
      <c r="H279" s="2"/>
      <c r="K279" s="2"/>
    </row>
    <row r="280" spans="1:11" x14ac:dyDescent="0.3">
      <c r="A280" t="str">
        <f t="shared" si="5"/>
        <v/>
      </c>
      <c r="H280" s="2"/>
      <c r="K280" s="2"/>
    </row>
    <row r="281" spans="1:11" x14ac:dyDescent="0.3">
      <c r="A281" t="str">
        <f t="shared" si="5"/>
        <v/>
      </c>
      <c r="H281" s="2"/>
      <c r="K281" s="2"/>
    </row>
    <row r="282" spans="1:11" x14ac:dyDescent="0.3">
      <c r="A282" t="str">
        <f t="shared" si="5"/>
        <v/>
      </c>
      <c r="H282" s="2"/>
      <c r="K282" s="2"/>
    </row>
    <row r="283" spans="1:11" x14ac:dyDescent="0.3">
      <c r="A283" t="str">
        <f t="shared" si="5"/>
        <v/>
      </c>
      <c r="H283" s="2"/>
      <c r="K283" s="2"/>
    </row>
    <row r="284" spans="1:11" x14ac:dyDescent="0.3">
      <c r="A284" t="str">
        <f t="shared" si="5"/>
        <v/>
      </c>
      <c r="H284" s="2"/>
      <c r="K284" s="2"/>
    </row>
    <row r="285" spans="1:11" x14ac:dyDescent="0.3">
      <c r="A285" t="str">
        <f t="shared" si="5"/>
        <v/>
      </c>
      <c r="H285" s="2"/>
      <c r="K285" s="2"/>
    </row>
    <row r="286" spans="1:11" x14ac:dyDescent="0.3">
      <c r="A286" t="str">
        <f t="shared" si="5"/>
        <v/>
      </c>
      <c r="H286" s="2"/>
      <c r="K286" s="2"/>
    </row>
    <row r="287" spans="1:11" x14ac:dyDescent="0.3">
      <c r="A287" t="str">
        <f t="shared" si="5"/>
        <v/>
      </c>
      <c r="H287" s="2"/>
      <c r="K287" s="2"/>
    </row>
    <row r="288" spans="1:11" x14ac:dyDescent="0.3">
      <c r="A288" t="str">
        <f t="shared" si="5"/>
        <v/>
      </c>
      <c r="H288" s="2"/>
      <c r="K288" s="2"/>
    </row>
    <row r="289" spans="1:11" x14ac:dyDescent="0.3">
      <c r="A289" t="str">
        <f t="shared" si="5"/>
        <v/>
      </c>
      <c r="H289" s="2"/>
      <c r="K289" s="2"/>
    </row>
    <row r="290" spans="1:11" x14ac:dyDescent="0.3">
      <c r="A290" t="str">
        <f t="shared" si="5"/>
        <v/>
      </c>
      <c r="H290" s="2"/>
      <c r="K290" s="2"/>
    </row>
    <row r="291" spans="1:11" x14ac:dyDescent="0.3">
      <c r="A291" t="str">
        <f t="shared" si="5"/>
        <v/>
      </c>
      <c r="H291" s="2"/>
      <c r="K291" s="2"/>
    </row>
    <row r="292" spans="1:11" x14ac:dyDescent="0.3">
      <c r="A292" t="str">
        <f t="shared" si="5"/>
        <v/>
      </c>
      <c r="H292" s="2"/>
      <c r="K292" s="2"/>
    </row>
    <row r="293" spans="1:11" x14ac:dyDescent="0.3">
      <c r="A293" t="str">
        <f t="shared" si="5"/>
        <v/>
      </c>
      <c r="H293" s="2"/>
      <c r="K293" s="2"/>
    </row>
    <row r="294" spans="1:11" x14ac:dyDescent="0.3">
      <c r="A294" t="str">
        <f t="shared" si="5"/>
        <v/>
      </c>
      <c r="H294" s="2"/>
      <c r="K294" s="2"/>
    </row>
    <row r="295" spans="1:11" x14ac:dyDescent="0.3">
      <c r="A295" t="str">
        <f t="shared" si="5"/>
        <v/>
      </c>
      <c r="H295" s="2"/>
      <c r="K295" s="2"/>
    </row>
    <row r="296" spans="1:11" x14ac:dyDescent="0.3">
      <c r="A296" t="str">
        <f t="shared" si="5"/>
        <v/>
      </c>
      <c r="H296" s="2"/>
      <c r="K296" s="2"/>
    </row>
    <row r="297" spans="1:11" x14ac:dyDescent="0.3">
      <c r="A297" t="str">
        <f t="shared" si="5"/>
        <v/>
      </c>
      <c r="H297" s="2"/>
      <c r="K297" s="2"/>
    </row>
    <row r="298" spans="1:11" x14ac:dyDescent="0.3">
      <c r="A298" t="str">
        <f t="shared" si="5"/>
        <v/>
      </c>
      <c r="H298" s="2"/>
      <c r="K298" s="2"/>
    </row>
    <row r="299" spans="1:11" x14ac:dyDescent="0.3">
      <c r="A299" t="str">
        <f t="shared" si="5"/>
        <v/>
      </c>
      <c r="H299" s="2"/>
      <c r="K299" s="2"/>
    </row>
    <row r="300" spans="1:11" x14ac:dyDescent="0.3">
      <c r="A300" t="str">
        <f t="shared" si="5"/>
        <v/>
      </c>
      <c r="H300" s="2"/>
      <c r="K300" s="2"/>
    </row>
    <row r="301" spans="1:11" x14ac:dyDescent="0.3">
      <c r="A301" t="str">
        <f t="shared" si="5"/>
        <v/>
      </c>
      <c r="H301" s="2"/>
      <c r="K301" s="2"/>
    </row>
    <row r="302" spans="1:11" x14ac:dyDescent="0.3">
      <c r="A302" t="str">
        <f t="shared" si="5"/>
        <v/>
      </c>
      <c r="H302" s="2"/>
      <c r="K302" s="2"/>
    </row>
    <row r="303" spans="1:11" x14ac:dyDescent="0.3">
      <c r="A303" t="str">
        <f t="shared" si="5"/>
        <v/>
      </c>
      <c r="H303" s="2"/>
      <c r="K303" s="2"/>
    </row>
    <row r="304" spans="1:11" x14ac:dyDescent="0.3">
      <c r="A304" t="str">
        <f t="shared" si="5"/>
        <v/>
      </c>
      <c r="H304" s="2"/>
      <c r="K304" s="2"/>
    </row>
    <row r="305" spans="1:11" x14ac:dyDescent="0.3">
      <c r="A305" t="str">
        <f t="shared" si="5"/>
        <v/>
      </c>
      <c r="H305" s="2"/>
      <c r="K305" s="2"/>
    </row>
    <row r="306" spans="1:11" x14ac:dyDescent="0.3">
      <c r="A306" t="str">
        <f t="shared" si="5"/>
        <v/>
      </c>
      <c r="H306" s="2"/>
      <c r="K306" s="2"/>
    </row>
    <row r="307" spans="1:11" x14ac:dyDescent="0.3">
      <c r="A307" t="str">
        <f t="shared" si="5"/>
        <v/>
      </c>
      <c r="H307" s="2"/>
      <c r="K307" s="2"/>
    </row>
    <row r="308" spans="1:11" x14ac:dyDescent="0.3">
      <c r="A308" t="str">
        <f t="shared" si="5"/>
        <v/>
      </c>
      <c r="H308" s="2"/>
      <c r="K308" s="2"/>
    </row>
    <row r="309" spans="1:11" x14ac:dyDescent="0.3">
      <c r="A309" t="str">
        <f t="shared" si="5"/>
        <v/>
      </c>
      <c r="H309" s="2"/>
      <c r="K309" s="2"/>
    </row>
    <row r="310" spans="1:11" x14ac:dyDescent="0.3">
      <c r="A310" t="str">
        <f t="shared" si="5"/>
        <v/>
      </c>
      <c r="H310" s="2"/>
      <c r="K310" s="2"/>
    </row>
    <row r="311" spans="1:11" x14ac:dyDescent="0.3">
      <c r="A311" t="str">
        <f t="shared" si="5"/>
        <v/>
      </c>
      <c r="H311" s="2"/>
      <c r="K311" s="2"/>
    </row>
    <row r="312" spans="1:11" x14ac:dyDescent="0.3">
      <c r="A312" t="str">
        <f t="shared" si="5"/>
        <v/>
      </c>
      <c r="H312" s="2"/>
      <c r="K312" s="2"/>
    </row>
    <row r="313" spans="1:11" x14ac:dyDescent="0.3">
      <c r="A313" t="str">
        <f t="shared" si="5"/>
        <v/>
      </c>
      <c r="H313" s="2"/>
      <c r="K313" s="2"/>
    </row>
    <row r="314" spans="1:11" x14ac:dyDescent="0.3">
      <c r="A314" t="str">
        <f t="shared" si="5"/>
        <v/>
      </c>
      <c r="H314" s="2"/>
      <c r="K314" s="2"/>
    </row>
    <row r="315" spans="1:11" x14ac:dyDescent="0.3">
      <c r="A315" t="str">
        <f t="shared" si="5"/>
        <v/>
      </c>
      <c r="H315" s="2"/>
      <c r="K315" s="2"/>
    </row>
    <row r="316" spans="1:11" x14ac:dyDescent="0.3">
      <c r="A316" t="str">
        <f t="shared" si="5"/>
        <v/>
      </c>
      <c r="H316" s="2"/>
      <c r="K316" s="2"/>
    </row>
    <row r="317" spans="1:11" x14ac:dyDescent="0.3">
      <c r="A317" t="str">
        <f t="shared" si="5"/>
        <v/>
      </c>
      <c r="H317" s="2"/>
      <c r="K317" s="2"/>
    </row>
    <row r="318" spans="1:11" x14ac:dyDescent="0.3">
      <c r="A318" t="str">
        <f t="shared" si="5"/>
        <v/>
      </c>
      <c r="H318" s="2"/>
      <c r="K318" s="2"/>
    </row>
    <row r="319" spans="1:11" x14ac:dyDescent="0.3">
      <c r="A319" t="str">
        <f t="shared" si="5"/>
        <v/>
      </c>
      <c r="H319" s="2"/>
      <c r="K319" s="2"/>
    </row>
    <row r="320" spans="1:11" x14ac:dyDescent="0.3">
      <c r="A320" t="str">
        <f t="shared" si="5"/>
        <v/>
      </c>
      <c r="H320" s="2"/>
      <c r="K320" s="2"/>
    </row>
    <row r="321" spans="1:11" x14ac:dyDescent="0.3">
      <c r="A321" t="str">
        <f t="shared" si="5"/>
        <v/>
      </c>
      <c r="H321" s="2"/>
      <c r="K321" s="2"/>
    </row>
    <row r="322" spans="1:11" x14ac:dyDescent="0.3">
      <c r="A322" t="str">
        <f t="shared" ref="A322:A385" si="6">IF(B322="","",ROW()-1)</f>
        <v/>
      </c>
      <c r="H322" s="2"/>
      <c r="K322" s="2"/>
    </row>
    <row r="323" spans="1:11" x14ac:dyDescent="0.3">
      <c r="A323" t="str">
        <f t="shared" si="6"/>
        <v/>
      </c>
      <c r="H323" s="2"/>
      <c r="K323" s="2"/>
    </row>
    <row r="324" spans="1:11" x14ac:dyDescent="0.3">
      <c r="A324" t="str">
        <f t="shared" si="6"/>
        <v/>
      </c>
      <c r="H324" s="2"/>
      <c r="K324" s="2"/>
    </row>
    <row r="325" spans="1:11" x14ac:dyDescent="0.3">
      <c r="A325" t="str">
        <f t="shared" si="6"/>
        <v/>
      </c>
      <c r="H325" s="2"/>
      <c r="K325" s="2"/>
    </row>
    <row r="326" spans="1:11" x14ac:dyDescent="0.3">
      <c r="A326" t="str">
        <f t="shared" si="6"/>
        <v/>
      </c>
      <c r="H326" s="2"/>
      <c r="K326" s="2"/>
    </row>
    <row r="327" spans="1:11" x14ac:dyDescent="0.3">
      <c r="A327" t="str">
        <f t="shared" si="6"/>
        <v/>
      </c>
      <c r="H327" s="2"/>
      <c r="K327" s="2"/>
    </row>
    <row r="328" spans="1:11" x14ac:dyDescent="0.3">
      <c r="A328" t="str">
        <f t="shared" si="6"/>
        <v/>
      </c>
      <c r="H328" s="2"/>
      <c r="K328" s="2"/>
    </row>
    <row r="329" spans="1:11" x14ac:dyDescent="0.3">
      <c r="A329" t="str">
        <f t="shared" si="6"/>
        <v/>
      </c>
      <c r="H329" s="2"/>
      <c r="K329" s="2"/>
    </row>
    <row r="330" spans="1:11" x14ac:dyDescent="0.3">
      <c r="A330" t="str">
        <f t="shared" si="6"/>
        <v/>
      </c>
      <c r="H330" s="2"/>
      <c r="K330" s="2"/>
    </row>
    <row r="331" spans="1:11" x14ac:dyDescent="0.3">
      <c r="A331" t="str">
        <f t="shared" si="6"/>
        <v/>
      </c>
      <c r="H331" s="2"/>
      <c r="K331" s="2"/>
    </row>
    <row r="332" spans="1:11" x14ac:dyDescent="0.3">
      <c r="A332" t="str">
        <f t="shared" si="6"/>
        <v/>
      </c>
      <c r="H332" s="2"/>
      <c r="K332" s="2"/>
    </row>
    <row r="333" spans="1:11" x14ac:dyDescent="0.3">
      <c r="A333" t="str">
        <f t="shared" si="6"/>
        <v/>
      </c>
      <c r="H333" s="2"/>
      <c r="K333" s="2"/>
    </row>
    <row r="334" spans="1:11" x14ac:dyDescent="0.3">
      <c r="A334" t="str">
        <f t="shared" si="6"/>
        <v/>
      </c>
      <c r="H334" s="2"/>
      <c r="K334" s="2"/>
    </row>
    <row r="335" spans="1:11" x14ac:dyDescent="0.3">
      <c r="A335" t="str">
        <f t="shared" si="6"/>
        <v/>
      </c>
      <c r="H335" s="2"/>
      <c r="K335" s="2"/>
    </row>
    <row r="336" spans="1:11" x14ac:dyDescent="0.3">
      <c r="A336" t="str">
        <f t="shared" si="6"/>
        <v/>
      </c>
      <c r="H336" s="2"/>
      <c r="K336" s="2"/>
    </row>
    <row r="337" spans="1:11" x14ac:dyDescent="0.3">
      <c r="A337" t="str">
        <f t="shared" si="6"/>
        <v/>
      </c>
      <c r="H337" s="2"/>
      <c r="K337" s="2"/>
    </row>
    <row r="338" spans="1:11" x14ac:dyDescent="0.3">
      <c r="A338" t="str">
        <f t="shared" si="6"/>
        <v/>
      </c>
      <c r="H338" s="2"/>
      <c r="K338" s="2"/>
    </row>
    <row r="339" spans="1:11" x14ac:dyDescent="0.3">
      <c r="A339" t="str">
        <f t="shared" si="6"/>
        <v/>
      </c>
      <c r="H339" s="2"/>
      <c r="K339" s="2"/>
    </row>
    <row r="340" spans="1:11" x14ac:dyDescent="0.3">
      <c r="A340" t="str">
        <f t="shared" si="6"/>
        <v/>
      </c>
      <c r="H340" s="2"/>
      <c r="K340" s="2"/>
    </row>
    <row r="341" spans="1:11" x14ac:dyDescent="0.3">
      <c r="A341" t="str">
        <f t="shared" si="6"/>
        <v/>
      </c>
      <c r="H341" s="2"/>
      <c r="K341" s="2"/>
    </row>
    <row r="342" spans="1:11" x14ac:dyDescent="0.3">
      <c r="A342" t="str">
        <f t="shared" si="6"/>
        <v/>
      </c>
      <c r="H342" s="2"/>
      <c r="K342" s="2"/>
    </row>
    <row r="343" spans="1:11" x14ac:dyDescent="0.3">
      <c r="A343" t="str">
        <f t="shared" si="6"/>
        <v/>
      </c>
      <c r="H343" s="2"/>
      <c r="K343" s="2"/>
    </row>
    <row r="344" spans="1:11" x14ac:dyDescent="0.3">
      <c r="A344" t="str">
        <f t="shared" si="6"/>
        <v/>
      </c>
      <c r="H344" s="2"/>
      <c r="K344" s="2"/>
    </row>
    <row r="345" spans="1:11" x14ac:dyDescent="0.3">
      <c r="A345" t="str">
        <f t="shared" si="6"/>
        <v/>
      </c>
      <c r="H345" s="2"/>
      <c r="K345" s="2"/>
    </row>
    <row r="346" spans="1:11" x14ac:dyDescent="0.3">
      <c r="A346" t="str">
        <f t="shared" si="6"/>
        <v/>
      </c>
      <c r="H346" s="2"/>
      <c r="K346" s="2"/>
    </row>
    <row r="347" spans="1:11" x14ac:dyDescent="0.3">
      <c r="A347" t="str">
        <f t="shared" si="6"/>
        <v/>
      </c>
      <c r="H347" s="2"/>
      <c r="K347" s="2"/>
    </row>
    <row r="348" spans="1:11" x14ac:dyDescent="0.3">
      <c r="A348" t="str">
        <f t="shared" si="6"/>
        <v/>
      </c>
      <c r="H348" s="2"/>
      <c r="K348" s="2"/>
    </row>
    <row r="349" spans="1:11" x14ac:dyDescent="0.3">
      <c r="A349" t="str">
        <f t="shared" si="6"/>
        <v/>
      </c>
      <c r="H349" s="2"/>
      <c r="K349" s="2"/>
    </row>
    <row r="350" spans="1:11" x14ac:dyDescent="0.3">
      <c r="A350" t="str">
        <f t="shared" si="6"/>
        <v/>
      </c>
      <c r="H350" s="2"/>
      <c r="K350" s="2"/>
    </row>
    <row r="351" spans="1:11" x14ac:dyDescent="0.3">
      <c r="A351" t="str">
        <f t="shared" si="6"/>
        <v/>
      </c>
      <c r="H351" s="2"/>
      <c r="K351" s="2"/>
    </row>
    <row r="352" spans="1:11" x14ac:dyDescent="0.3">
      <c r="A352" t="str">
        <f t="shared" si="6"/>
        <v/>
      </c>
      <c r="H352" s="2"/>
      <c r="K352" s="2"/>
    </row>
    <row r="353" spans="1:11" x14ac:dyDescent="0.3">
      <c r="A353" t="str">
        <f t="shared" si="6"/>
        <v/>
      </c>
      <c r="H353" s="2"/>
      <c r="K353" s="2"/>
    </row>
    <row r="354" spans="1:11" x14ac:dyDescent="0.3">
      <c r="A354" t="str">
        <f t="shared" si="6"/>
        <v/>
      </c>
      <c r="H354" s="2"/>
      <c r="K354" s="2"/>
    </row>
    <row r="355" spans="1:11" x14ac:dyDescent="0.3">
      <c r="A355" t="str">
        <f t="shared" si="6"/>
        <v/>
      </c>
      <c r="H355" s="2"/>
      <c r="K355" s="2"/>
    </row>
    <row r="356" spans="1:11" x14ac:dyDescent="0.3">
      <c r="A356" t="str">
        <f t="shared" si="6"/>
        <v/>
      </c>
      <c r="H356" s="2"/>
      <c r="K356" s="2"/>
    </row>
    <row r="357" spans="1:11" x14ac:dyDescent="0.3">
      <c r="A357" t="str">
        <f t="shared" si="6"/>
        <v/>
      </c>
      <c r="H357" s="2"/>
      <c r="K357" s="2"/>
    </row>
    <row r="358" spans="1:11" x14ac:dyDescent="0.3">
      <c r="A358" t="str">
        <f t="shared" si="6"/>
        <v/>
      </c>
      <c r="H358" s="2"/>
      <c r="K358" s="2"/>
    </row>
    <row r="359" spans="1:11" x14ac:dyDescent="0.3">
      <c r="A359" t="str">
        <f t="shared" si="6"/>
        <v/>
      </c>
      <c r="H359" s="2"/>
      <c r="K359" s="2"/>
    </row>
    <row r="360" spans="1:11" x14ac:dyDescent="0.3">
      <c r="A360" t="str">
        <f t="shared" si="6"/>
        <v/>
      </c>
      <c r="H360" s="2"/>
      <c r="K360" s="2"/>
    </row>
    <row r="361" spans="1:11" x14ac:dyDescent="0.3">
      <c r="A361" t="str">
        <f t="shared" si="6"/>
        <v/>
      </c>
      <c r="H361" s="2"/>
      <c r="K361" s="2"/>
    </row>
    <row r="362" spans="1:11" x14ac:dyDescent="0.3">
      <c r="A362" t="str">
        <f t="shared" si="6"/>
        <v/>
      </c>
      <c r="H362" s="2"/>
      <c r="K362" s="2"/>
    </row>
    <row r="363" spans="1:11" x14ac:dyDescent="0.3">
      <c r="A363" t="str">
        <f t="shared" si="6"/>
        <v/>
      </c>
      <c r="H363" s="2"/>
      <c r="K363" s="2"/>
    </row>
    <row r="364" spans="1:11" x14ac:dyDescent="0.3">
      <c r="A364" t="str">
        <f t="shared" si="6"/>
        <v/>
      </c>
      <c r="H364" s="2"/>
      <c r="K364" s="2"/>
    </row>
    <row r="365" spans="1:11" x14ac:dyDescent="0.3">
      <c r="A365" t="str">
        <f t="shared" si="6"/>
        <v/>
      </c>
      <c r="H365" s="2"/>
      <c r="K365" s="2"/>
    </row>
    <row r="366" spans="1:11" x14ac:dyDescent="0.3">
      <c r="A366" t="str">
        <f t="shared" si="6"/>
        <v/>
      </c>
      <c r="H366" s="2"/>
      <c r="K366" s="2"/>
    </row>
    <row r="367" spans="1:11" x14ac:dyDescent="0.3">
      <c r="A367" t="str">
        <f t="shared" si="6"/>
        <v/>
      </c>
      <c r="H367" s="2"/>
      <c r="K367" s="2"/>
    </row>
    <row r="368" spans="1:11" x14ac:dyDescent="0.3">
      <c r="A368" t="str">
        <f t="shared" si="6"/>
        <v/>
      </c>
      <c r="H368" s="2"/>
      <c r="K368" s="2"/>
    </row>
    <row r="369" spans="1:11" x14ac:dyDescent="0.3">
      <c r="A369" t="str">
        <f t="shared" si="6"/>
        <v/>
      </c>
      <c r="H369" s="2"/>
      <c r="K369" s="2"/>
    </row>
    <row r="370" spans="1:11" x14ac:dyDescent="0.3">
      <c r="A370" t="str">
        <f t="shared" si="6"/>
        <v/>
      </c>
      <c r="H370" s="2"/>
      <c r="K370" s="2"/>
    </row>
    <row r="371" spans="1:11" x14ac:dyDescent="0.3">
      <c r="A371" t="str">
        <f t="shared" si="6"/>
        <v/>
      </c>
      <c r="H371" s="2"/>
      <c r="K371" s="2"/>
    </row>
    <row r="372" spans="1:11" x14ac:dyDescent="0.3">
      <c r="A372" t="str">
        <f t="shared" si="6"/>
        <v/>
      </c>
      <c r="H372" s="2"/>
      <c r="K372" s="2"/>
    </row>
    <row r="373" spans="1:11" x14ac:dyDescent="0.3">
      <c r="A373" t="str">
        <f t="shared" si="6"/>
        <v/>
      </c>
      <c r="H373" s="2"/>
      <c r="K373" s="2"/>
    </row>
    <row r="374" spans="1:11" x14ac:dyDescent="0.3">
      <c r="A374" t="str">
        <f t="shared" si="6"/>
        <v/>
      </c>
      <c r="H374" s="2"/>
      <c r="K374" s="2"/>
    </row>
    <row r="375" spans="1:11" x14ac:dyDescent="0.3">
      <c r="A375" t="str">
        <f t="shared" si="6"/>
        <v/>
      </c>
      <c r="H375" s="2"/>
      <c r="K375" s="2"/>
    </row>
    <row r="376" spans="1:11" x14ac:dyDescent="0.3">
      <c r="A376" t="str">
        <f t="shared" si="6"/>
        <v/>
      </c>
      <c r="H376" s="2"/>
      <c r="K376" s="2"/>
    </row>
    <row r="377" spans="1:11" x14ac:dyDescent="0.3">
      <c r="A377" t="str">
        <f t="shared" si="6"/>
        <v/>
      </c>
      <c r="H377" s="2"/>
      <c r="K377" s="2"/>
    </row>
    <row r="378" spans="1:11" x14ac:dyDescent="0.3">
      <c r="A378" t="str">
        <f t="shared" si="6"/>
        <v/>
      </c>
      <c r="H378" s="2"/>
      <c r="K378" s="2"/>
    </row>
    <row r="379" spans="1:11" x14ac:dyDescent="0.3">
      <c r="A379" t="str">
        <f t="shared" si="6"/>
        <v/>
      </c>
      <c r="H379" s="2"/>
      <c r="K379" s="2"/>
    </row>
    <row r="380" spans="1:11" x14ac:dyDescent="0.3">
      <c r="A380" t="str">
        <f t="shared" si="6"/>
        <v/>
      </c>
      <c r="H380" s="2"/>
      <c r="K380" s="2"/>
    </row>
    <row r="381" spans="1:11" x14ac:dyDescent="0.3">
      <c r="A381" t="str">
        <f t="shared" si="6"/>
        <v/>
      </c>
      <c r="H381" s="2"/>
      <c r="K381" s="2"/>
    </row>
    <row r="382" spans="1:11" x14ac:dyDescent="0.3">
      <c r="A382" t="str">
        <f t="shared" si="6"/>
        <v/>
      </c>
      <c r="H382" s="2"/>
      <c r="K382" s="2"/>
    </row>
    <row r="383" spans="1:11" x14ac:dyDescent="0.3">
      <c r="A383" t="str">
        <f t="shared" si="6"/>
        <v/>
      </c>
      <c r="H383" s="2"/>
      <c r="K383" s="2"/>
    </row>
    <row r="384" spans="1:11" x14ac:dyDescent="0.3">
      <c r="A384" t="str">
        <f t="shared" si="6"/>
        <v/>
      </c>
      <c r="H384" s="2"/>
      <c r="K384" s="2"/>
    </row>
    <row r="385" spans="1:11" x14ac:dyDescent="0.3">
      <c r="A385" t="str">
        <f t="shared" si="6"/>
        <v/>
      </c>
      <c r="H385" s="2"/>
      <c r="K385" s="2"/>
    </row>
    <row r="386" spans="1:11" x14ac:dyDescent="0.3">
      <c r="A386" t="str">
        <f t="shared" ref="A386:A449" si="7">IF(B386="","",ROW()-1)</f>
        <v/>
      </c>
      <c r="H386" s="2"/>
      <c r="K386" s="2"/>
    </row>
    <row r="387" spans="1:11" x14ac:dyDescent="0.3">
      <c r="A387" t="str">
        <f t="shared" si="7"/>
        <v/>
      </c>
      <c r="H387" s="2"/>
      <c r="K387" s="2"/>
    </row>
    <row r="388" spans="1:11" x14ac:dyDescent="0.3">
      <c r="A388" t="str">
        <f t="shared" si="7"/>
        <v/>
      </c>
      <c r="H388" s="2"/>
      <c r="K388" s="2"/>
    </row>
    <row r="389" spans="1:11" x14ac:dyDescent="0.3">
      <c r="A389" t="str">
        <f t="shared" si="7"/>
        <v/>
      </c>
      <c r="H389" s="2"/>
      <c r="K389" s="2"/>
    </row>
    <row r="390" spans="1:11" x14ac:dyDescent="0.3">
      <c r="A390" t="str">
        <f t="shared" si="7"/>
        <v/>
      </c>
      <c r="H390" s="2"/>
      <c r="K390" s="2"/>
    </row>
    <row r="391" spans="1:11" x14ac:dyDescent="0.3">
      <c r="A391" t="str">
        <f t="shared" si="7"/>
        <v/>
      </c>
      <c r="H391" s="2"/>
      <c r="K391" s="2"/>
    </row>
    <row r="392" spans="1:11" x14ac:dyDescent="0.3">
      <c r="A392" t="str">
        <f t="shared" si="7"/>
        <v/>
      </c>
      <c r="H392" s="2"/>
      <c r="K392" s="2"/>
    </row>
    <row r="393" spans="1:11" x14ac:dyDescent="0.3">
      <c r="A393" t="str">
        <f t="shared" si="7"/>
        <v/>
      </c>
      <c r="H393" s="2"/>
      <c r="K393" s="2"/>
    </row>
    <row r="394" spans="1:11" x14ac:dyDescent="0.3">
      <c r="A394" t="str">
        <f t="shared" si="7"/>
        <v/>
      </c>
      <c r="H394" s="2"/>
      <c r="K394" s="2"/>
    </row>
    <row r="395" spans="1:11" x14ac:dyDescent="0.3">
      <c r="A395" t="str">
        <f t="shared" si="7"/>
        <v/>
      </c>
      <c r="H395" s="2"/>
      <c r="K395" s="2"/>
    </row>
    <row r="396" spans="1:11" x14ac:dyDescent="0.3">
      <c r="A396" t="str">
        <f t="shared" si="7"/>
        <v/>
      </c>
      <c r="H396" s="2"/>
      <c r="K396" s="2"/>
    </row>
    <row r="397" spans="1:11" x14ac:dyDescent="0.3">
      <c r="A397" t="str">
        <f t="shared" si="7"/>
        <v/>
      </c>
      <c r="H397" s="2"/>
      <c r="K397" s="2"/>
    </row>
    <row r="398" spans="1:11" x14ac:dyDescent="0.3">
      <c r="A398" t="str">
        <f t="shared" si="7"/>
        <v/>
      </c>
      <c r="H398" s="2"/>
      <c r="K398" s="2"/>
    </row>
    <row r="399" spans="1:11" x14ac:dyDescent="0.3">
      <c r="A399" t="str">
        <f t="shared" si="7"/>
        <v/>
      </c>
      <c r="H399" s="2"/>
      <c r="K399" s="2"/>
    </row>
    <row r="400" spans="1:11" x14ac:dyDescent="0.3">
      <c r="A400" t="str">
        <f t="shared" si="7"/>
        <v/>
      </c>
      <c r="H400" s="2"/>
      <c r="K400" s="2"/>
    </row>
    <row r="401" spans="1:11" x14ac:dyDescent="0.3">
      <c r="A401" t="str">
        <f t="shared" si="7"/>
        <v/>
      </c>
      <c r="H401" s="2"/>
      <c r="K401" s="2"/>
    </row>
    <row r="402" spans="1:11" x14ac:dyDescent="0.3">
      <c r="A402" t="str">
        <f t="shared" si="7"/>
        <v/>
      </c>
      <c r="H402" s="2"/>
      <c r="K402" s="2"/>
    </row>
    <row r="403" spans="1:11" x14ac:dyDescent="0.3">
      <c r="A403" t="str">
        <f t="shared" si="7"/>
        <v/>
      </c>
      <c r="H403" s="2"/>
      <c r="K403" s="2"/>
    </row>
    <row r="404" spans="1:11" x14ac:dyDescent="0.3">
      <c r="A404" t="str">
        <f t="shared" si="7"/>
        <v/>
      </c>
      <c r="H404" s="2"/>
      <c r="K404" s="2"/>
    </row>
    <row r="405" spans="1:11" x14ac:dyDescent="0.3">
      <c r="A405" t="str">
        <f t="shared" si="7"/>
        <v/>
      </c>
      <c r="H405" s="2"/>
      <c r="K405" s="2"/>
    </row>
    <row r="406" spans="1:11" x14ac:dyDescent="0.3">
      <c r="A406" t="str">
        <f t="shared" si="7"/>
        <v/>
      </c>
      <c r="H406" s="2"/>
      <c r="K406" s="2"/>
    </row>
    <row r="407" spans="1:11" x14ac:dyDescent="0.3">
      <c r="A407" t="str">
        <f t="shared" si="7"/>
        <v/>
      </c>
      <c r="H407" s="2"/>
      <c r="K407" s="2"/>
    </row>
    <row r="408" spans="1:11" x14ac:dyDescent="0.3">
      <c r="A408" t="str">
        <f t="shared" si="7"/>
        <v/>
      </c>
      <c r="H408" s="2"/>
      <c r="K408" s="2"/>
    </row>
    <row r="409" spans="1:11" x14ac:dyDescent="0.3">
      <c r="A409" t="str">
        <f t="shared" si="7"/>
        <v/>
      </c>
      <c r="H409" s="2"/>
      <c r="K409" s="2"/>
    </row>
    <row r="410" spans="1:11" x14ac:dyDescent="0.3">
      <c r="A410" t="str">
        <f t="shared" si="7"/>
        <v/>
      </c>
      <c r="H410" s="2"/>
      <c r="K410" s="2"/>
    </row>
    <row r="411" spans="1:11" x14ac:dyDescent="0.3">
      <c r="A411" t="str">
        <f t="shared" si="7"/>
        <v/>
      </c>
      <c r="H411" s="2"/>
      <c r="K411" s="2"/>
    </row>
    <row r="412" spans="1:11" x14ac:dyDescent="0.3">
      <c r="A412" t="str">
        <f t="shared" si="7"/>
        <v/>
      </c>
      <c r="H412" s="2"/>
      <c r="K412" s="2"/>
    </row>
    <row r="413" spans="1:11" x14ac:dyDescent="0.3">
      <c r="A413" t="str">
        <f t="shared" si="7"/>
        <v/>
      </c>
      <c r="H413" s="2"/>
      <c r="K413" s="2"/>
    </row>
    <row r="414" spans="1:11" x14ac:dyDescent="0.3">
      <c r="A414" t="str">
        <f t="shared" si="7"/>
        <v/>
      </c>
      <c r="H414" s="2"/>
      <c r="K414" s="2"/>
    </row>
    <row r="415" spans="1:11" x14ac:dyDescent="0.3">
      <c r="A415" t="str">
        <f t="shared" si="7"/>
        <v/>
      </c>
      <c r="H415" s="2"/>
      <c r="K415" s="2"/>
    </row>
    <row r="416" spans="1:11" x14ac:dyDescent="0.3">
      <c r="A416" t="str">
        <f t="shared" si="7"/>
        <v/>
      </c>
      <c r="H416" s="2"/>
      <c r="K416" s="2"/>
    </row>
    <row r="417" spans="1:11" x14ac:dyDescent="0.3">
      <c r="A417" t="str">
        <f t="shared" si="7"/>
        <v/>
      </c>
      <c r="H417" s="2"/>
      <c r="K417" s="2"/>
    </row>
    <row r="418" spans="1:11" x14ac:dyDescent="0.3">
      <c r="A418" t="str">
        <f t="shared" si="7"/>
        <v/>
      </c>
      <c r="H418" s="2"/>
      <c r="K418" s="2"/>
    </row>
    <row r="419" spans="1:11" x14ac:dyDescent="0.3">
      <c r="A419" t="str">
        <f t="shared" si="7"/>
        <v/>
      </c>
      <c r="H419" s="2"/>
      <c r="K419" s="2"/>
    </row>
    <row r="420" spans="1:11" x14ac:dyDescent="0.3">
      <c r="A420" t="str">
        <f t="shared" si="7"/>
        <v/>
      </c>
      <c r="H420" s="2"/>
      <c r="K420" s="2"/>
    </row>
    <row r="421" spans="1:11" x14ac:dyDescent="0.3">
      <c r="A421" t="str">
        <f t="shared" si="7"/>
        <v/>
      </c>
      <c r="H421" s="2"/>
      <c r="K421" s="2"/>
    </row>
    <row r="422" spans="1:11" x14ac:dyDescent="0.3">
      <c r="A422" t="str">
        <f t="shared" si="7"/>
        <v/>
      </c>
      <c r="H422" s="2"/>
      <c r="K422" s="2"/>
    </row>
    <row r="423" spans="1:11" x14ac:dyDescent="0.3">
      <c r="A423" t="str">
        <f t="shared" si="7"/>
        <v/>
      </c>
      <c r="H423" s="2"/>
      <c r="K423" s="2"/>
    </row>
    <row r="424" spans="1:11" x14ac:dyDescent="0.3">
      <c r="A424" t="str">
        <f t="shared" si="7"/>
        <v/>
      </c>
      <c r="H424" s="2"/>
      <c r="K424" s="2"/>
    </row>
    <row r="425" spans="1:11" x14ac:dyDescent="0.3">
      <c r="A425" t="str">
        <f t="shared" si="7"/>
        <v/>
      </c>
      <c r="H425" s="2"/>
      <c r="K425" s="2"/>
    </row>
    <row r="426" spans="1:11" x14ac:dyDescent="0.3">
      <c r="A426" t="str">
        <f t="shared" si="7"/>
        <v/>
      </c>
      <c r="H426" s="2"/>
      <c r="K426" s="2"/>
    </row>
    <row r="427" spans="1:11" x14ac:dyDescent="0.3">
      <c r="A427" t="str">
        <f t="shared" si="7"/>
        <v/>
      </c>
      <c r="H427" s="2"/>
      <c r="K427" s="2"/>
    </row>
    <row r="428" spans="1:11" x14ac:dyDescent="0.3">
      <c r="A428" t="str">
        <f t="shared" si="7"/>
        <v/>
      </c>
      <c r="H428" s="2"/>
      <c r="K428" s="2"/>
    </row>
    <row r="429" spans="1:11" x14ac:dyDescent="0.3">
      <c r="A429" t="str">
        <f t="shared" si="7"/>
        <v/>
      </c>
      <c r="H429" s="2"/>
      <c r="K429" s="2"/>
    </row>
    <row r="430" spans="1:11" x14ac:dyDescent="0.3">
      <c r="A430" t="str">
        <f t="shared" si="7"/>
        <v/>
      </c>
      <c r="H430" s="2"/>
      <c r="K430" s="2"/>
    </row>
    <row r="431" spans="1:11" x14ac:dyDescent="0.3">
      <c r="A431" t="str">
        <f t="shared" si="7"/>
        <v/>
      </c>
      <c r="H431" s="2"/>
      <c r="K431" s="2"/>
    </row>
    <row r="432" spans="1:11" x14ac:dyDescent="0.3">
      <c r="A432" t="str">
        <f t="shared" si="7"/>
        <v/>
      </c>
      <c r="H432" s="2"/>
      <c r="K432" s="2"/>
    </row>
    <row r="433" spans="1:11" x14ac:dyDescent="0.3">
      <c r="A433" t="str">
        <f t="shared" si="7"/>
        <v/>
      </c>
      <c r="H433" s="2"/>
      <c r="K433" s="2"/>
    </row>
    <row r="434" spans="1:11" x14ac:dyDescent="0.3">
      <c r="A434" t="str">
        <f t="shared" si="7"/>
        <v/>
      </c>
      <c r="H434" s="2"/>
      <c r="K434" s="2"/>
    </row>
    <row r="435" spans="1:11" x14ac:dyDescent="0.3">
      <c r="A435" t="str">
        <f t="shared" si="7"/>
        <v/>
      </c>
      <c r="H435" s="2"/>
      <c r="K435" s="2"/>
    </row>
    <row r="436" spans="1:11" x14ac:dyDescent="0.3">
      <c r="A436" t="str">
        <f t="shared" si="7"/>
        <v/>
      </c>
      <c r="H436" s="2"/>
      <c r="K436" s="2"/>
    </row>
    <row r="437" spans="1:11" x14ac:dyDescent="0.3">
      <c r="A437" t="str">
        <f t="shared" si="7"/>
        <v/>
      </c>
      <c r="H437" s="2"/>
      <c r="K437" s="2"/>
    </row>
    <row r="438" spans="1:11" x14ac:dyDescent="0.3">
      <c r="A438" t="str">
        <f t="shared" si="7"/>
        <v/>
      </c>
      <c r="H438" s="2"/>
      <c r="K438" s="2"/>
    </row>
    <row r="439" spans="1:11" x14ac:dyDescent="0.3">
      <c r="A439" t="str">
        <f t="shared" si="7"/>
        <v/>
      </c>
      <c r="H439" s="2"/>
      <c r="K439" s="2"/>
    </row>
    <row r="440" spans="1:11" x14ac:dyDescent="0.3">
      <c r="A440" t="str">
        <f t="shared" si="7"/>
        <v/>
      </c>
      <c r="H440" s="2"/>
      <c r="K440" s="2"/>
    </row>
    <row r="441" spans="1:11" x14ac:dyDescent="0.3">
      <c r="A441" t="str">
        <f t="shared" si="7"/>
        <v/>
      </c>
      <c r="H441" s="2"/>
      <c r="K441" s="2"/>
    </row>
    <row r="442" spans="1:11" x14ac:dyDescent="0.3">
      <c r="A442" t="str">
        <f t="shared" si="7"/>
        <v/>
      </c>
      <c r="H442" s="2"/>
      <c r="K442" s="2"/>
    </row>
    <row r="443" spans="1:11" x14ac:dyDescent="0.3">
      <c r="A443" t="str">
        <f t="shared" si="7"/>
        <v/>
      </c>
      <c r="H443" s="2"/>
      <c r="K443" s="2"/>
    </row>
    <row r="444" spans="1:11" x14ac:dyDescent="0.3">
      <c r="A444" t="str">
        <f t="shared" si="7"/>
        <v/>
      </c>
      <c r="H444" s="2"/>
      <c r="K444" s="2"/>
    </row>
    <row r="445" spans="1:11" x14ac:dyDescent="0.3">
      <c r="A445" t="str">
        <f t="shared" si="7"/>
        <v/>
      </c>
      <c r="H445" s="2"/>
      <c r="K445" s="2"/>
    </row>
    <row r="446" spans="1:11" x14ac:dyDescent="0.3">
      <c r="A446" t="str">
        <f t="shared" si="7"/>
        <v/>
      </c>
      <c r="H446" s="2"/>
      <c r="K446" s="2"/>
    </row>
    <row r="447" spans="1:11" x14ac:dyDescent="0.3">
      <c r="A447" t="str">
        <f t="shared" si="7"/>
        <v/>
      </c>
      <c r="H447" s="2"/>
      <c r="K447" s="2"/>
    </row>
    <row r="448" spans="1:11" x14ac:dyDescent="0.3">
      <c r="A448" t="str">
        <f t="shared" si="7"/>
        <v/>
      </c>
      <c r="H448" s="2"/>
      <c r="K448" s="2"/>
    </row>
    <row r="449" spans="1:11" x14ac:dyDescent="0.3">
      <c r="A449" t="str">
        <f t="shared" si="7"/>
        <v/>
      </c>
      <c r="H449" s="2"/>
      <c r="K449" s="2"/>
    </row>
    <row r="450" spans="1:11" x14ac:dyDescent="0.3">
      <c r="A450" t="str">
        <f t="shared" ref="A450:A499" si="8">IF(B450="","",ROW()-1)</f>
        <v/>
      </c>
      <c r="H450" s="2"/>
      <c r="K450" s="2"/>
    </row>
    <row r="451" spans="1:11" x14ac:dyDescent="0.3">
      <c r="A451" t="str">
        <f t="shared" si="8"/>
        <v/>
      </c>
      <c r="H451" s="2"/>
      <c r="K451" s="2"/>
    </row>
    <row r="452" spans="1:11" x14ac:dyDescent="0.3">
      <c r="A452" t="str">
        <f t="shared" si="8"/>
        <v/>
      </c>
      <c r="H452" s="2"/>
      <c r="K452" s="2"/>
    </row>
    <row r="453" spans="1:11" x14ac:dyDescent="0.3">
      <c r="A453" t="str">
        <f t="shared" si="8"/>
        <v/>
      </c>
      <c r="H453" s="2"/>
      <c r="K453" s="2"/>
    </row>
    <row r="454" spans="1:11" x14ac:dyDescent="0.3">
      <c r="A454" t="str">
        <f t="shared" si="8"/>
        <v/>
      </c>
      <c r="H454" s="2"/>
      <c r="K454" s="2"/>
    </row>
    <row r="455" spans="1:11" x14ac:dyDescent="0.3">
      <c r="A455" t="str">
        <f t="shared" si="8"/>
        <v/>
      </c>
      <c r="H455" s="2"/>
      <c r="K455" s="2"/>
    </row>
    <row r="456" spans="1:11" x14ac:dyDescent="0.3">
      <c r="A456" t="str">
        <f t="shared" si="8"/>
        <v/>
      </c>
      <c r="H456" s="2"/>
      <c r="K456" s="2"/>
    </row>
    <row r="457" spans="1:11" x14ac:dyDescent="0.3">
      <c r="A457" t="str">
        <f t="shared" si="8"/>
        <v/>
      </c>
      <c r="H457" s="2"/>
      <c r="K457" s="2"/>
    </row>
    <row r="458" spans="1:11" x14ac:dyDescent="0.3">
      <c r="A458" t="str">
        <f t="shared" si="8"/>
        <v/>
      </c>
      <c r="H458" s="2"/>
      <c r="K458" s="2"/>
    </row>
    <row r="459" spans="1:11" x14ac:dyDescent="0.3">
      <c r="A459" t="str">
        <f t="shared" si="8"/>
        <v/>
      </c>
      <c r="H459" s="2"/>
      <c r="K459" s="2"/>
    </row>
    <row r="460" spans="1:11" x14ac:dyDescent="0.3">
      <c r="A460" t="str">
        <f t="shared" si="8"/>
        <v/>
      </c>
      <c r="H460" s="2"/>
      <c r="K460" s="2"/>
    </row>
    <row r="461" spans="1:11" x14ac:dyDescent="0.3">
      <c r="A461" t="str">
        <f t="shared" si="8"/>
        <v/>
      </c>
      <c r="H461" s="2"/>
      <c r="K461" s="2"/>
    </row>
    <row r="462" spans="1:11" x14ac:dyDescent="0.3">
      <c r="A462" t="str">
        <f t="shared" si="8"/>
        <v/>
      </c>
      <c r="H462" s="2"/>
      <c r="K462" s="2"/>
    </row>
    <row r="463" spans="1:11" x14ac:dyDescent="0.3">
      <c r="A463" t="str">
        <f t="shared" si="8"/>
        <v/>
      </c>
      <c r="H463" s="2"/>
      <c r="K463" s="2"/>
    </row>
    <row r="464" spans="1:11" x14ac:dyDescent="0.3">
      <c r="A464" t="str">
        <f t="shared" si="8"/>
        <v/>
      </c>
      <c r="H464" s="2"/>
      <c r="K464" s="2"/>
    </row>
    <row r="465" spans="1:11" x14ac:dyDescent="0.3">
      <c r="A465" t="str">
        <f t="shared" si="8"/>
        <v/>
      </c>
      <c r="H465" s="2"/>
      <c r="K465" s="2"/>
    </row>
    <row r="466" spans="1:11" x14ac:dyDescent="0.3">
      <c r="A466" t="str">
        <f t="shared" si="8"/>
        <v/>
      </c>
      <c r="H466" s="2"/>
      <c r="K466" s="2"/>
    </row>
    <row r="467" spans="1:11" x14ac:dyDescent="0.3">
      <c r="A467" t="str">
        <f t="shared" si="8"/>
        <v/>
      </c>
      <c r="H467" s="2"/>
      <c r="K467" s="2"/>
    </row>
    <row r="468" spans="1:11" x14ac:dyDescent="0.3">
      <c r="A468" t="str">
        <f t="shared" si="8"/>
        <v/>
      </c>
      <c r="H468" s="2"/>
      <c r="K468" s="2"/>
    </row>
    <row r="469" spans="1:11" x14ac:dyDescent="0.3">
      <c r="A469" t="str">
        <f t="shared" si="8"/>
        <v/>
      </c>
      <c r="H469" s="2"/>
      <c r="K469" s="2"/>
    </row>
    <row r="470" spans="1:11" x14ac:dyDescent="0.3">
      <c r="A470" t="str">
        <f t="shared" si="8"/>
        <v/>
      </c>
      <c r="H470" s="2"/>
      <c r="K470" s="2"/>
    </row>
    <row r="471" spans="1:11" x14ac:dyDescent="0.3">
      <c r="A471" t="str">
        <f t="shared" si="8"/>
        <v/>
      </c>
      <c r="H471" s="2"/>
      <c r="K471" s="2"/>
    </row>
    <row r="472" spans="1:11" x14ac:dyDescent="0.3">
      <c r="A472" t="str">
        <f t="shared" si="8"/>
        <v/>
      </c>
      <c r="H472" s="2"/>
      <c r="K472" s="2"/>
    </row>
    <row r="473" spans="1:11" x14ac:dyDescent="0.3">
      <c r="A473" t="str">
        <f t="shared" si="8"/>
        <v/>
      </c>
      <c r="H473" s="2"/>
      <c r="K473" s="2"/>
    </row>
    <row r="474" spans="1:11" x14ac:dyDescent="0.3">
      <c r="A474" t="str">
        <f t="shared" si="8"/>
        <v/>
      </c>
      <c r="H474" s="2"/>
      <c r="K474" s="2"/>
    </row>
    <row r="475" spans="1:11" x14ac:dyDescent="0.3">
      <c r="A475" t="str">
        <f t="shared" si="8"/>
        <v/>
      </c>
      <c r="H475" s="2"/>
      <c r="K475" s="2"/>
    </row>
    <row r="476" spans="1:11" x14ac:dyDescent="0.3">
      <c r="A476" t="str">
        <f t="shared" si="8"/>
        <v/>
      </c>
      <c r="H476" s="2"/>
      <c r="K476" s="2"/>
    </row>
    <row r="477" spans="1:11" x14ac:dyDescent="0.3">
      <c r="A477" t="str">
        <f t="shared" si="8"/>
        <v/>
      </c>
      <c r="H477" s="2"/>
      <c r="K477" s="2"/>
    </row>
    <row r="478" spans="1:11" x14ac:dyDescent="0.3">
      <c r="A478" t="str">
        <f t="shared" si="8"/>
        <v/>
      </c>
      <c r="H478" s="2"/>
      <c r="K478" s="2"/>
    </row>
    <row r="479" spans="1:11" x14ac:dyDescent="0.3">
      <c r="A479" t="str">
        <f t="shared" si="8"/>
        <v/>
      </c>
      <c r="H479" s="2"/>
      <c r="K479" s="2"/>
    </row>
    <row r="480" spans="1:11" x14ac:dyDescent="0.3">
      <c r="A480" t="str">
        <f t="shared" si="8"/>
        <v/>
      </c>
      <c r="H480" s="2"/>
      <c r="K480" s="2"/>
    </row>
    <row r="481" spans="1:11" x14ac:dyDescent="0.3">
      <c r="A481" t="str">
        <f t="shared" si="8"/>
        <v/>
      </c>
      <c r="H481" s="2"/>
      <c r="K481" s="2"/>
    </row>
    <row r="482" spans="1:11" x14ac:dyDescent="0.3">
      <c r="A482" t="str">
        <f t="shared" si="8"/>
        <v/>
      </c>
      <c r="H482" s="2"/>
      <c r="K482" s="2"/>
    </row>
    <row r="483" spans="1:11" x14ac:dyDescent="0.3">
      <c r="A483" t="str">
        <f t="shared" si="8"/>
        <v/>
      </c>
      <c r="H483" s="2"/>
      <c r="K483" s="2"/>
    </row>
    <row r="484" spans="1:11" x14ac:dyDescent="0.3">
      <c r="A484" t="str">
        <f t="shared" si="8"/>
        <v/>
      </c>
      <c r="H484" s="2"/>
      <c r="K484" s="2"/>
    </row>
    <row r="485" spans="1:11" x14ac:dyDescent="0.3">
      <c r="A485" t="str">
        <f t="shared" si="8"/>
        <v/>
      </c>
      <c r="H485" s="2"/>
      <c r="K485" s="2"/>
    </row>
    <row r="486" spans="1:11" x14ac:dyDescent="0.3">
      <c r="A486" t="str">
        <f t="shared" si="8"/>
        <v/>
      </c>
      <c r="H486" s="2"/>
      <c r="K486" s="2"/>
    </row>
    <row r="487" spans="1:11" x14ac:dyDescent="0.3">
      <c r="A487" t="str">
        <f t="shared" si="8"/>
        <v/>
      </c>
      <c r="H487" s="2"/>
      <c r="K487" s="2"/>
    </row>
    <row r="488" spans="1:11" x14ac:dyDescent="0.3">
      <c r="A488" t="str">
        <f t="shared" si="8"/>
        <v/>
      </c>
      <c r="H488" s="2"/>
      <c r="K488" s="2"/>
    </row>
    <row r="489" spans="1:11" x14ac:dyDescent="0.3">
      <c r="A489" t="str">
        <f t="shared" si="8"/>
        <v/>
      </c>
      <c r="H489" s="2"/>
      <c r="K489" s="2"/>
    </row>
    <row r="490" spans="1:11" x14ac:dyDescent="0.3">
      <c r="A490" t="str">
        <f t="shared" si="8"/>
        <v/>
      </c>
      <c r="H490" s="2"/>
      <c r="K490" s="2"/>
    </row>
    <row r="491" spans="1:11" x14ac:dyDescent="0.3">
      <c r="A491" t="str">
        <f t="shared" si="8"/>
        <v/>
      </c>
      <c r="H491" s="2"/>
      <c r="K491" s="2"/>
    </row>
    <row r="492" spans="1:11" x14ac:dyDescent="0.3">
      <c r="A492" t="str">
        <f t="shared" si="8"/>
        <v/>
      </c>
      <c r="H492" s="2"/>
      <c r="K492" s="2"/>
    </row>
    <row r="493" spans="1:11" x14ac:dyDescent="0.3">
      <c r="A493" t="str">
        <f t="shared" si="8"/>
        <v/>
      </c>
      <c r="H493" s="2"/>
      <c r="K493" s="2"/>
    </row>
    <row r="494" spans="1:11" x14ac:dyDescent="0.3">
      <c r="A494" t="str">
        <f t="shared" si="8"/>
        <v/>
      </c>
      <c r="H494" s="2"/>
      <c r="K494" s="2"/>
    </row>
    <row r="495" spans="1:11" x14ac:dyDescent="0.3">
      <c r="A495" t="str">
        <f t="shared" si="8"/>
        <v/>
      </c>
      <c r="H495" s="2"/>
      <c r="K495" s="2"/>
    </row>
    <row r="496" spans="1:11" x14ac:dyDescent="0.3">
      <c r="A496" t="str">
        <f t="shared" si="8"/>
        <v/>
      </c>
      <c r="H496" s="2"/>
      <c r="K496" s="2"/>
    </row>
    <row r="497" spans="1:11" x14ac:dyDescent="0.3">
      <c r="A497" t="str">
        <f t="shared" si="8"/>
        <v/>
      </c>
      <c r="H497" s="2"/>
      <c r="K497" s="2"/>
    </row>
    <row r="498" spans="1:11" x14ac:dyDescent="0.3">
      <c r="A498" t="str">
        <f t="shared" si="8"/>
        <v/>
      </c>
      <c r="H498" s="2"/>
      <c r="K498" s="2"/>
    </row>
    <row r="499" spans="1:11" x14ac:dyDescent="0.3">
      <c r="A499" t="str">
        <f t="shared" si="8"/>
        <v/>
      </c>
      <c r="H499" s="2"/>
      <c r="K499" s="2"/>
    </row>
  </sheetData>
  <mergeCells count="11">
    <mergeCell ref="Q11:Q12"/>
    <mergeCell ref="M1:O1"/>
    <mergeCell ref="M11:M12"/>
    <mergeCell ref="N11:N12"/>
    <mergeCell ref="O11:O12"/>
    <mergeCell ref="P11:P12"/>
    <mergeCell ref="M14:M15"/>
    <mergeCell ref="N14:N15"/>
    <mergeCell ref="O14:O15"/>
    <mergeCell ref="P14:P15"/>
    <mergeCell ref="Q14:Q15"/>
  </mergeCells>
  <conditionalFormatting sqref="A2:K499">
    <cfRule type="expression" dxfId="3" priority="1">
      <formula>$J2="Compliant"</formula>
    </cfRule>
    <cfRule type="expression" dxfId="2" priority="2">
      <formula>$J2="Non-Compliant"</formula>
    </cfRule>
    <cfRule type="expression" dxfId="1" priority="3">
      <formula>$J2="Pending"</formula>
    </cfRule>
    <cfRule type="expression" dxfId="0" priority="4">
      <formula>$J2="Under Review"</formula>
    </cfRule>
  </conditionalFormatting>
  <dataValidations count="5">
    <dataValidation type="list" allowBlank="1" sqref="J2:J499" xr:uid="{2ABA4318-4B46-4749-809B-783CB864B2C5}">
      <formula1>"Compliant,Non-Compliant,Pending,Under Review,Exempted"</formula1>
    </dataValidation>
    <dataValidation type="list" allowBlank="1" sqref="I2:I499" xr:uid="{22E8DBCD-3513-4D45-A5EA-2C1638A71043}">
      <formula1>"Yes,No,N/A"</formula1>
    </dataValidation>
    <dataValidation type="list" allowBlank="1" sqref="G2:G499" xr:uid="{144428CC-E66A-4239-8F82-904B56369A34}">
      <formula1>"Yes,No,Awaiting"</formula1>
    </dataValidation>
    <dataValidation type="list" allowBlank="1" sqref="F2:F499" xr:uid="{26C1AA0C-66DF-4C7A-AEEC-3795C0524ED1}">
      <formula1>"Monthly,Quarterly,Biannually,Annually,Vendor Dependent"</formula1>
    </dataValidation>
    <dataValidation type="list" allowBlank="1" sqref="D2:D499" xr:uid="{4DA57B8C-2562-44CA-97E7-9573DA01B493}">
      <formula1>"AERO,PA,PT,BA,CORP,IA"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855ec7-b4f6-4e6c-b168-0f5bfc5b0d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90CD348408E04BB2E53C4A71274EFE" ma:contentTypeVersion="9" ma:contentTypeDescription="Create a new document." ma:contentTypeScope="" ma:versionID="cf2ac5472774efd0b56ede7a8d51b828">
  <xsd:schema xmlns:xsd="http://www.w3.org/2001/XMLSchema" xmlns:xs="http://www.w3.org/2001/XMLSchema" xmlns:p="http://schemas.microsoft.com/office/2006/metadata/properties" xmlns:ns3="cc855ec7-b4f6-4e6c-b168-0f5bfc5b0dfa" targetNamespace="http://schemas.microsoft.com/office/2006/metadata/properties" ma:root="true" ma:fieldsID="541046a10bd70f6505090f3ec41edf26" ns3:_="">
    <xsd:import namespace="cc855ec7-b4f6-4e6c-b168-0f5bfc5b0df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5ec7-b4f6-4e6c-b168-0f5bfc5b0df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9060DB-4732-47BD-B5FA-19D8B42EFAA4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cc855ec7-b4f6-4e6c-b168-0f5bfc5b0df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C24707A-C24E-44E0-B980-5B91D28E9E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5099A1-85A2-4491-B695-5F4930402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5ec7-b4f6-4e6c-b168-0f5bfc5b0d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4-bc88714345d2}" enabled="1" method="Standard" siteId="{6092fc65-3f44-4968-9122-26a4461128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COTS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Kandi</dc:creator>
  <cp:lastModifiedBy>Debasis Kandi</cp:lastModifiedBy>
  <dcterms:created xsi:type="dcterms:W3CDTF">2026-09-02T01:48:52Z</dcterms:created>
  <dcterms:modified xsi:type="dcterms:W3CDTF">2026-09-02T02:22:05Z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0x0101000690CD348408E04BB2E53C4A71274EFE</vt:lpwstr>
  </property>
</Properties>
</file>