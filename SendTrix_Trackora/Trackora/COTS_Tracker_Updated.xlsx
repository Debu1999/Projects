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TS Tracker" sheetId="1" state="visible" r:id="rId1"/>
    <sheet xmlns:r="http://schemas.openxmlformats.org/officeDocument/2006/relationships" name="Activity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5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0"/>
    </font>
    <font>
      <name val="Calibri"/>
      <family val="2"/>
      <b val="1"/>
      <color rgb="FF1E4620"/>
      <sz val="12"/>
    </font>
    <font>
      <name val="Calibri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5" fontId="4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</cellXfs>
  <cellStyles count="1">
    <cellStyle name="Normal" xfId="0" builtinId="0"/>
  </cellStyles>
  <dxfs count="4"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9"/>
  <sheetViews>
    <sheetView tabSelected="1" workbookViewId="0">
      <selection activeCell="K10" sqref="K10"/>
    </sheetView>
  </sheetViews>
  <sheetFormatPr baseColWidth="8" defaultRowHeight="14.4"/>
  <cols>
    <col width="5" customWidth="1" style="17" min="1" max="1"/>
    <col width="26.77734375" customWidth="1" style="17" min="2" max="2"/>
    <col width="21.33203125" customWidth="1" style="17" min="3" max="3"/>
    <col width="13.21875" customWidth="1" style="17" min="4" max="4"/>
    <col width="27.5546875" customWidth="1" style="17" min="5" max="5"/>
    <col width="24" customWidth="1" style="17" min="6" max="6"/>
    <col width="15.5546875" customWidth="1" style="17" min="7" max="7"/>
    <col width="16" customWidth="1" style="17" min="8" max="8"/>
    <col width="14" customWidth="1" style="17" min="9" max="9"/>
    <col width="24.33203125" customWidth="1" style="17" min="10" max="10"/>
    <col width="21.5546875" customWidth="1" style="17" min="11" max="11"/>
    <col width="22" customWidth="1" style="17" min="13" max="13"/>
    <col width="12" customWidth="1" style="17" min="14" max="14"/>
    <col width="16" customWidth="1" style="17" min="15" max="16"/>
    <col width="12" customWidth="1" style="17" min="17" max="17"/>
  </cols>
  <sheetData>
    <row r="1" ht="39.9" customHeight="1" s="17">
      <c r="A1" s="16" t="inlineStr">
        <is>
          <t>#</t>
        </is>
      </c>
      <c r="B1" s="16" t="inlineStr">
        <is>
          <t>Application Name</t>
        </is>
      </c>
      <c r="C1" s="16" t="inlineStr">
        <is>
          <t>SecureTrack ID</t>
        </is>
      </c>
      <c r="D1" s="16" t="inlineStr">
        <is>
          <t>SBG</t>
        </is>
      </c>
      <c r="E1" s="16" t="inlineStr">
        <is>
          <t>Application Owner</t>
        </is>
      </c>
      <c r="F1" s="16" t="inlineStr">
        <is>
          <t>Patch Release Frequency</t>
        </is>
      </c>
      <c r="G1" s="16" t="inlineStr">
        <is>
          <t>Evidence Received</t>
        </is>
      </c>
      <c r="H1" s="16" t="inlineStr">
        <is>
          <t>Evidence Date</t>
        </is>
      </c>
      <c r="I1" s="16" t="inlineStr">
        <is>
          <t>Timestamp Valid</t>
        </is>
      </c>
      <c r="J1" s="16" t="inlineStr">
        <is>
          <t>Compliance Status</t>
        </is>
      </c>
      <c r="K1" s="16" t="inlineStr">
        <is>
          <t>Date Marked</t>
        </is>
      </c>
      <c r="M1" s="16" t="inlineStr">
        <is>
          <t>COTS SUMMARY</t>
        </is>
      </c>
      <c r="N1" s="18" t="n"/>
      <c r="O1" s="19" t="n"/>
    </row>
    <row r="2" ht="21.9" customHeight="1" s="17">
      <c r="A2">
        <f>IF(B2="","",ROW()-1)</f>
        <v/>
      </c>
      <c r="B2" t="inlineStr">
        <is>
          <t>EIQMI - LOTTE 6.4.25 PROD</t>
        </is>
      </c>
      <c r="C2" t="inlineStr">
        <is>
          <t>ASN0001322</t>
        </is>
      </c>
      <c r="D2" t="inlineStr">
        <is>
          <t>IA</t>
        </is>
      </c>
      <c r="E2" t="inlineStr">
        <is>
          <t>Abhijeet Chaubey</t>
        </is>
      </c>
      <c r="F2" t="inlineStr">
        <is>
          <t>Biannually</t>
        </is>
      </c>
      <c r="H2" s="2" t="n"/>
      <c r="J2" t="inlineStr">
        <is>
          <t>Compliant</t>
        </is>
      </c>
      <c r="K2" s="2" t="n">
        <v>154</v>
      </c>
      <c r="M2" s="3" t="inlineStr">
        <is>
          <t>Total Applications</t>
        </is>
      </c>
      <c r="N2" s="4" t="n">
        <v>190</v>
      </c>
    </row>
    <row r="3" ht="21.9" customHeight="1" s="17">
      <c r="A3">
        <f>IF(B3="","",ROW()-1)</f>
        <v/>
      </c>
      <c r="B3" t="inlineStr">
        <is>
          <t xml:space="preserve">SAP  MES 15.1 PROD </t>
        </is>
      </c>
      <c r="C3" t="inlineStr">
        <is>
          <t>ASN0001620</t>
        </is>
      </c>
      <c r="D3" t="inlineStr">
        <is>
          <t>IA</t>
        </is>
      </c>
      <c r="E3" t="inlineStr">
        <is>
          <t>Abhijeet Chaubey</t>
        </is>
      </c>
      <c r="F3" t="inlineStr">
        <is>
          <t>Biannually</t>
        </is>
      </c>
      <c r="H3" s="2" t="n"/>
      <c r="J3" t="inlineStr">
        <is>
          <t>Compliant</t>
        </is>
      </c>
      <c r="K3" s="2" t="n">
        <v>46134</v>
      </c>
      <c r="M3" s="3" t="inlineStr">
        <is>
          <t>Compliant</t>
        </is>
      </c>
      <c r="N3" s="4">
        <f>COUNTIF(J:J,"Compliant")</f>
        <v/>
      </c>
    </row>
    <row r="4" ht="21.9" customHeight="1" s="17">
      <c r="A4">
        <f>IF(B4="","",ROW()-1)</f>
        <v/>
      </c>
      <c r="B4" t="inlineStr">
        <is>
          <t>PMT-Ignition IIOT platform (Aggregator) 9.7 PROD</t>
        </is>
      </c>
      <c r="C4" t="inlineStr">
        <is>
          <t>ASN0009470</t>
        </is>
      </c>
      <c r="D4" t="inlineStr">
        <is>
          <t>CORP</t>
        </is>
      </c>
      <c r="E4" t="inlineStr">
        <is>
          <t>Abhijeet Chaubey</t>
        </is>
      </c>
      <c r="F4" t="inlineStr">
        <is>
          <t>Biannually</t>
        </is>
      </c>
      <c r="H4" s="2" t="n"/>
      <c r="J4" t="inlineStr">
        <is>
          <t>Compliant</t>
        </is>
      </c>
      <c r="K4" s="2" t="n">
        <v>46112</v>
      </c>
      <c r="M4" s="3" t="inlineStr">
        <is>
          <t>Non-Compliant</t>
        </is>
      </c>
      <c r="N4" s="4" t="n">
        <v>33</v>
      </c>
    </row>
    <row r="5" ht="21.9" customHeight="1" s="17">
      <c r="A5">
        <f>IF(B5="","",ROW()-1)</f>
        <v/>
      </c>
      <c r="B5" t="inlineStr">
        <is>
          <t>HBT-Ignition IIOT platform (Aggregator) 8.1 PROD</t>
        </is>
      </c>
      <c r="C5" t="inlineStr">
        <is>
          <t>ASN0009702</t>
        </is>
      </c>
      <c r="D5" t="inlineStr">
        <is>
          <t>CORP</t>
        </is>
      </c>
      <c r="E5" t="inlineStr">
        <is>
          <t>Abhijeet Chaubey</t>
        </is>
      </c>
      <c r="F5" t="inlineStr">
        <is>
          <t>Biannually</t>
        </is>
      </c>
      <c r="H5" s="2" t="n"/>
      <c r="J5" t="inlineStr">
        <is>
          <t>Compliant</t>
        </is>
      </c>
      <c r="K5" s="2" t="n">
        <v>46134</v>
      </c>
      <c r="M5" s="3" t="inlineStr">
        <is>
          <t>Pending</t>
        </is>
      </c>
      <c r="N5" s="4" t="n">
        <v>0</v>
      </c>
    </row>
    <row r="6" ht="21.9" customHeight="1" s="17">
      <c r="A6">
        <f>IF(B6="","",ROW()-1)</f>
        <v/>
      </c>
      <c r="B6" t="inlineStr">
        <is>
          <t>IGNITION GE4U 8.1 PROD</t>
        </is>
      </c>
      <c r="C6" t="inlineStr">
        <is>
          <t>ASN0009797</t>
        </is>
      </c>
      <c r="D6" t="inlineStr">
        <is>
          <t>CORP</t>
        </is>
      </c>
      <c r="E6" t="inlineStr">
        <is>
          <t>Abhijeet Chaubey</t>
        </is>
      </c>
      <c r="H6" s="2" t="n"/>
      <c r="J6" t="inlineStr">
        <is>
          <t>Compliant</t>
        </is>
      </c>
      <c r="K6" s="2" t="n">
        <v>46134</v>
      </c>
      <c r="M6" s="3" t="inlineStr">
        <is>
          <t>Under Review</t>
        </is>
      </c>
      <c r="N6" s="4" t="n">
        <v>0</v>
      </c>
    </row>
    <row r="7" ht="21.9" customHeight="1" s="17">
      <c r="A7">
        <f>IF(B7="","",ROW()-1)</f>
        <v/>
      </c>
      <c r="B7" t="inlineStr">
        <is>
          <t>IGNITION IN51 8.1 PROD</t>
        </is>
      </c>
      <c r="C7" t="inlineStr">
        <is>
          <t>ASN0010882</t>
        </is>
      </c>
      <c r="D7" t="inlineStr">
        <is>
          <t>CORP</t>
        </is>
      </c>
      <c r="E7" t="inlineStr">
        <is>
          <t>Abhijeet Chaubey</t>
        </is>
      </c>
      <c r="H7" s="2" t="n"/>
      <c r="J7" t="inlineStr">
        <is>
          <t>Compliant</t>
        </is>
      </c>
      <c r="K7" s="2" t="n">
        <v>46112</v>
      </c>
      <c r="M7" s="3" t="inlineStr">
        <is>
          <t>Compliance %</t>
        </is>
      </c>
      <c r="N7" s="5" t="n">
        <v>0.8105263157894737</v>
      </c>
    </row>
    <row r="8">
      <c r="A8">
        <f>IF(B8="","",ROW()-1)</f>
        <v/>
      </c>
      <c r="B8" t="inlineStr">
        <is>
          <t>Gitlab SOC 16.5 PROD</t>
        </is>
      </c>
      <c r="C8" t="inlineStr">
        <is>
          <t>ASN0007068</t>
        </is>
      </c>
      <c r="D8" t="inlineStr">
        <is>
          <t>CORP</t>
        </is>
      </c>
      <c r="E8" t="inlineStr">
        <is>
          <t>Abhilash Elayaperumal</t>
        </is>
      </c>
      <c r="F8" t="inlineStr">
        <is>
          <t>Monthly</t>
        </is>
      </c>
      <c r="H8" s="2" t="n"/>
      <c r="J8" t="inlineStr">
        <is>
          <t>Compliant</t>
        </is>
      </c>
      <c r="K8" s="2" t="n">
        <v>45700</v>
      </c>
    </row>
    <row r="9" ht="21.9" customHeight="1" s="17">
      <c r="A9">
        <f>IF(B9="","",ROW()-1)</f>
        <v/>
      </c>
      <c r="B9" t="inlineStr">
        <is>
          <t>DDI OnPrem</t>
        </is>
      </c>
      <c r="C9" t="inlineStr">
        <is>
          <t>ASN0002720</t>
        </is>
      </c>
      <c r="D9" t="inlineStr">
        <is>
          <t>CORP</t>
        </is>
      </c>
      <c r="E9" t="inlineStr">
        <is>
          <t>Ajeeshkumar S S</t>
        </is>
      </c>
      <c r="F9" t="inlineStr">
        <is>
          <t>Annually</t>
        </is>
      </c>
      <c r="H9" s="2" t="n"/>
      <c r="J9" t="inlineStr">
        <is>
          <t>Compliant</t>
        </is>
      </c>
      <c r="K9" s="2" t="n">
        <v>46244</v>
      </c>
      <c r="M9" s="6" t="inlineStr">
        <is>
          <t>SBG</t>
        </is>
      </c>
      <c r="N9" s="6" t="inlineStr">
        <is>
          <t>Total</t>
        </is>
      </c>
      <c r="O9" s="6" t="inlineStr">
        <is>
          <t>Compliant</t>
        </is>
      </c>
      <c r="P9" s="6" t="inlineStr">
        <is>
          <t>Non-Compliant</t>
        </is>
      </c>
      <c r="Q9" s="6" t="inlineStr">
        <is>
          <t>Compliance %</t>
        </is>
      </c>
    </row>
    <row r="10" ht="20.1" customHeight="1" s="17">
      <c r="A10">
        <f>IF(B10="","",ROW()-1)</f>
        <v/>
      </c>
      <c r="B10" t="inlineStr">
        <is>
          <t>Cisco Identity Services Engine</t>
        </is>
      </c>
      <c r="C10" t="inlineStr">
        <is>
          <t>ASN0008507</t>
        </is>
      </c>
      <c r="D10" t="inlineStr">
        <is>
          <t>CORP</t>
        </is>
      </c>
      <c r="E10" t="inlineStr">
        <is>
          <t>Ajeeshkumar S S</t>
        </is>
      </c>
      <c r="F10" t="inlineStr">
        <is>
          <t>Quarterly</t>
        </is>
      </c>
      <c r="H10" s="2" t="n"/>
      <c r="J10" t="inlineStr">
        <is>
          <t>Compliant</t>
        </is>
      </c>
      <c r="K10" s="2" t="n">
        <v>46242</v>
      </c>
      <c r="M10" s="7" t="inlineStr">
        <is>
          <t>AERO</t>
        </is>
      </c>
      <c r="N10" s="8">
        <f>COUNTIF(D:D,"AERO")</f>
        <v/>
      </c>
      <c r="O10" s="8">
        <f>COUNTIFS(D:D,"AERO",J:J,"Compliant")</f>
        <v/>
      </c>
      <c r="P10" s="8">
        <f>COUNTIFS(D:D,"AERO",J:J,"Non-Compliant")</f>
        <v/>
      </c>
      <c r="Q10" s="9">
        <f>IFERROR(O10/N10,0)</f>
        <v/>
      </c>
    </row>
    <row r="11" ht="13.5" customHeight="1" s="17">
      <c r="A11">
        <f>IF(B11="","",ROW()-1)</f>
        <v/>
      </c>
      <c r="B11" t="inlineStr">
        <is>
          <t>CORPVPN Remote Access</t>
        </is>
      </c>
      <c r="C11" t="inlineStr">
        <is>
          <t>ASN0008680</t>
        </is>
      </c>
      <c r="D11" t="inlineStr">
        <is>
          <t>CORP</t>
        </is>
      </c>
      <c r="E11" t="inlineStr">
        <is>
          <t>Ajeeshkumar S S</t>
        </is>
      </c>
      <c r="F11" t="inlineStr">
        <is>
          <t>Annually</t>
        </is>
      </c>
      <c r="H11" s="2" t="n"/>
      <c r="J11" t="inlineStr">
        <is>
          <t>Non-Compliant</t>
        </is>
      </c>
      <c r="K11" s="2" t="n"/>
      <c r="M11" s="13" t="inlineStr">
        <is>
          <t>PA</t>
        </is>
      </c>
      <c r="N11" s="14">
        <f>COUNTIF(D:D,"PA")</f>
        <v/>
      </c>
      <c r="O11" s="14">
        <f>COUNTIFS(D:D,"PA",J:J,"Compliant")</f>
        <v/>
      </c>
      <c r="P11" s="14">
        <f>COUNTIFS(D:D,"PA",J:J,"Non-Compliant")</f>
        <v/>
      </c>
      <c r="Q11" s="15">
        <f>IFERROR(O11/N11,0)</f>
        <v/>
      </c>
    </row>
    <row r="12">
      <c r="A12">
        <f>IF(B12="","",ROW()-1)</f>
        <v/>
      </c>
      <c r="B12" t="inlineStr">
        <is>
          <t>SAP NWCE (BPP) 7.31 PROD</t>
        </is>
      </c>
      <c r="C12" t="inlineStr">
        <is>
          <t>ASN0000151</t>
        </is>
      </c>
      <c r="D12" t="inlineStr">
        <is>
          <t>BA</t>
        </is>
      </c>
      <c r="E12" t="inlineStr">
        <is>
          <t>Abhisek</t>
        </is>
      </c>
      <c r="F12" t="inlineStr">
        <is>
          <t>Monthly</t>
        </is>
      </c>
      <c r="H12" s="2" t="n"/>
      <c r="J12" t="inlineStr">
        <is>
          <t>Compliant</t>
        </is>
      </c>
      <c r="K12" s="2" t="n">
        <v>46267</v>
      </c>
      <c r="M12" s="20" t="n"/>
      <c r="N12" s="20" t="n"/>
      <c r="O12" s="20" t="n"/>
      <c r="P12" s="20" t="n"/>
      <c r="Q12" s="20" t="n"/>
    </row>
    <row r="13" ht="20.1" customHeight="1" s="17">
      <c r="A13">
        <f>IF(B13="","",ROW()-1)</f>
        <v/>
      </c>
      <c r="B13" t="inlineStr">
        <is>
          <t>SAP ERP (CIP) ECC 6.0 PROD</t>
        </is>
      </c>
      <c r="C13" t="inlineStr">
        <is>
          <t>ASN0000200</t>
        </is>
      </c>
      <c r="D13" t="inlineStr">
        <is>
          <t>CORP</t>
        </is>
      </c>
      <c r="E13" t="inlineStr">
        <is>
          <t>Devi</t>
        </is>
      </c>
      <c r="F13" t="inlineStr">
        <is>
          <t>Needs Review</t>
        </is>
      </c>
      <c r="H13" s="2" t="n"/>
      <c r="J13" t="inlineStr">
        <is>
          <t>Compliant</t>
        </is>
      </c>
      <c r="K13" s="2" t="n">
        <v>46182</v>
      </c>
      <c r="M13" s="7" t="inlineStr">
        <is>
          <t>PT</t>
        </is>
      </c>
      <c r="N13" s="8">
        <f>COUNTIF(D:D,"PT")</f>
        <v/>
      </c>
      <c r="O13" s="8">
        <f>COUNTIFS(D:D,"PT",J:J,"Compliant")</f>
        <v/>
      </c>
      <c r="P13" s="8">
        <f>COUNTIFS(D:D,"PT",J:J,"Non-Compliant")</f>
        <v/>
      </c>
      <c r="Q13" s="9">
        <f>IFERROR(O13/N13,0)</f>
        <v/>
      </c>
    </row>
    <row r="14">
      <c r="A14">
        <f>IF(B14="","",ROW()-1)</f>
        <v/>
      </c>
      <c r="B14" t="inlineStr">
        <is>
          <t>SAP PORTAL (BMP) 7.31 PROD</t>
        </is>
      </c>
      <c r="C14" t="inlineStr">
        <is>
          <t>ASN0000309</t>
        </is>
      </c>
      <c r="D14" t="inlineStr">
        <is>
          <t>BA</t>
        </is>
      </c>
      <c r="E14" t="inlineStr">
        <is>
          <t>Adele Vance</t>
        </is>
      </c>
      <c r="F14" t="inlineStr">
        <is>
          <t>Needs Review</t>
        </is>
      </c>
      <c r="H14" s="2" t="n"/>
      <c r="J14" t="inlineStr">
        <is>
          <t>Compliant</t>
        </is>
      </c>
      <c r="K14" s="2" t="n"/>
      <c r="M14" s="13" t="inlineStr">
        <is>
          <t>BA</t>
        </is>
      </c>
      <c r="N14" s="14">
        <f>COUNTIF(D:D,"BA")</f>
        <v/>
      </c>
      <c r="O14" s="14">
        <f>COUNTIFS(D:D,"BA",J:J,"Compliant")</f>
        <v/>
      </c>
      <c r="P14" s="14">
        <f>COUNTIFS(D:D,"BA",J:J,"Non-Compliant")</f>
        <v/>
      </c>
      <c r="Q14" s="15">
        <f>IFERROR(O14/N14,0)</f>
        <v/>
      </c>
    </row>
    <row r="15" ht="18" customHeight="1" s="17">
      <c r="A15">
        <f>IF(B15="","",ROW()-1)</f>
        <v/>
      </c>
      <c r="B15" t="inlineStr">
        <is>
          <t>SAP SOLMAN (ESM) 7.2 PROD</t>
        </is>
      </c>
      <c r="C15" t="inlineStr">
        <is>
          <t>ASN0000518</t>
        </is>
      </c>
      <c r="D15" t="inlineStr">
        <is>
          <t>CORP</t>
        </is>
      </c>
      <c r="E15" t="inlineStr">
        <is>
          <t>Amit Kurup</t>
        </is>
      </c>
      <c r="F15" t="inlineStr">
        <is>
          <t>Quarterly</t>
        </is>
      </c>
      <c r="H15" s="2" t="n"/>
      <c r="J15" t="inlineStr">
        <is>
          <t>Compliant</t>
        </is>
      </c>
      <c r="K15" s="2" t="n">
        <v>45461</v>
      </c>
      <c r="M15" s="20" t="n"/>
      <c r="N15" s="20" t="n"/>
      <c r="O15" s="20" t="n"/>
      <c r="P15" s="20" t="n"/>
      <c r="Q15" s="20" t="n"/>
    </row>
    <row r="16" ht="20.1" customHeight="1" s="17">
      <c r="A16">
        <f>IF(B16="","",ROW()-1)</f>
        <v/>
      </c>
      <c r="B16" t="inlineStr">
        <is>
          <t>SAP ERP (BRP) ECC 6.0 PROD</t>
        </is>
      </c>
      <c r="C16" t="inlineStr">
        <is>
          <t>ASN0000703</t>
        </is>
      </c>
      <c r="D16" t="inlineStr">
        <is>
          <t>CORP</t>
        </is>
      </c>
      <c r="E16" t="inlineStr">
        <is>
          <t>Amit Kurup</t>
        </is>
      </c>
      <c r="F16" t="inlineStr">
        <is>
          <t>Quarterly</t>
        </is>
      </c>
      <c r="H16" s="2" t="n"/>
      <c r="J16" t="inlineStr">
        <is>
          <t>Compliant</t>
        </is>
      </c>
      <c r="K16" s="2" t="n">
        <v>46183</v>
      </c>
      <c r="M16" s="7" t="inlineStr">
        <is>
          <t>CORP</t>
        </is>
      </c>
      <c r="N16" s="8">
        <f>COUNTIF(D:D,"CORP")</f>
        <v/>
      </c>
      <c r="O16" s="8">
        <f>COUNTIFS(D:D,"CORP",J:J,"Compliant")</f>
        <v/>
      </c>
      <c r="P16" s="8">
        <f>COUNTIFS(D:D,"CORP",J:J,"Non-Compliant")</f>
        <v/>
      </c>
      <c r="Q16" s="9">
        <f>IFERROR(O16/N16,0)</f>
        <v/>
      </c>
    </row>
    <row r="17" ht="20.1" customHeight="1" s="17">
      <c r="A17">
        <f>IF(B17="","",ROW()-1)</f>
        <v/>
      </c>
      <c r="B17" t="inlineStr">
        <is>
          <t>SAP ERP (ERP) ECC 6.0 PROD</t>
        </is>
      </c>
      <c r="C17" t="inlineStr">
        <is>
          <t>ASN0001278</t>
        </is>
      </c>
      <c r="D17" t="inlineStr">
        <is>
          <t>CORP</t>
        </is>
      </c>
      <c r="E17" t="inlineStr">
        <is>
          <t>Amit Kurup</t>
        </is>
      </c>
      <c r="F17" t="inlineStr">
        <is>
          <t>Quarterly</t>
        </is>
      </c>
      <c r="H17" s="2" t="n"/>
      <c r="J17" t="inlineStr">
        <is>
          <t>Compliant</t>
        </is>
      </c>
      <c r="K17" s="2" t="n">
        <v>46183</v>
      </c>
      <c r="M17" s="13" t="inlineStr">
        <is>
          <t>IA</t>
        </is>
      </c>
      <c r="N17" s="14">
        <f>COUNTIF(D:D,"IA")</f>
        <v/>
      </c>
      <c r="O17" s="14">
        <f>COUNTIFS(D:D,"IA",J:J,"Compliant")</f>
        <v/>
      </c>
      <c r="P17" s="14">
        <f>COUNTIFS(D:D,"IA",J:J,"Non-Compliant")</f>
        <v/>
      </c>
      <c r="Q17" s="15">
        <f>IFERROR(O17/N17,0)</f>
        <v/>
      </c>
    </row>
    <row r="18">
      <c r="A18">
        <f>IF(B18="","",ROW()-1)</f>
        <v/>
      </c>
      <c r="B18" t="inlineStr">
        <is>
          <t>SAP NET-WEAVER GATEWAY (VHP) 7.4 PROD</t>
        </is>
      </c>
      <c r="C18" t="inlineStr">
        <is>
          <t>ASN0001434</t>
        </is>
      </c>
      <c r="D18" t="inlineStr">
        <is>
          <t>CORP</t>
        </is>
      </c>
      <c r="E18" t="inlineStr">
        <is>
          <t>Amit Kurup</t>
        </is>
      </c>
      <c r="F18" t="inlineStr">
        <is>
          <t>Quarterly</t>
        </is>
      </c>
      <c r="H18" s="2" t="n"/>
      <c r="J18" t="inlineStr">
        <is>
          <t>Compliant</t>
        </is>
      </c>
      <c r="K18" s="2" t="n">
        <v>46181</v>
      </c>
    </row>
    <row r="19">
      <c r="A19">
        <f>IF(B19="","",ROW()-1)</f>
        <v/>
      </c>
      <c r="B19" t="inlineStr">
        <is>
          <t>SAP WEBDISPATCHER ECC 6.0 PROD</t>
        </is>
      </c>
      <c r="C19" t="inlineStr">
        <is>
          <t>ASN0001803</t>
        </is>
      </c>
      <c r="D19" t="inlineStr">
        <is>
          <t>CORP</t>
        </is>
      </c>
      <c r="E19" t="inlineStr">
        <is>
          <t>Amit Kurup</t>
        </is>
      </c>
      <c r="H19" s="2" t="n"/>
      <c r="J19" t="inlineStr">
        <is>
          <t>Compliant</t>
        </is>
      </c>
      <c r="K19" s="2" t="n"/>
    </row>
    <row r="20">
      <c r="A20">
        <f>IF(B20="","",ROW()-1)</f>
        <v/>
      </c>
      <c r="B20" t="inlineStr">
        <is>
          <t>SAP TOOLS 7.31 PROD CORP</t>
        </is>
      </c>
      <c r="C20" t="inlineStr">
        <is>
          <t>ASN0001998</t>
        </is>
      </c>
      <c r="D20" t="inlineStr">
        <is>
          <t>CORP</t>
        </is>
      </c>
      <c r="E20" t="inlineStr">
        <is>
          <t>Amit Kurup</t>
        </is>
      </c>
      <c r="F20" t="inlineStr">
        <is>
          <t>Quarterly</t>
        </is>
      </c>
      <c r="H20" s="2" t="n"/>
      <c r="J20" t="inlineStr">
        <is>
          <t>Compliant</t>
        </is>
      </c>
      <c r="K20" s="2" t="n"/>
    </row>
    <row r="21">
      <c r="A21">
        <f>IF(B21="","",ROW()-1)</f>
        <v/>
      </c>
      <c r="B21" t="inlineStr">
        <is>
          <t>SAP NW (EGP) 7.4 PROD</t>
        </is>
      </c>
      <c r="C21" t="inlineStr">
        <is>
          <t>ASN0002648</t>
        </is>
      </c>
      <c r="D21" t="inlineStr">
        <is>
          <t>CORP</t>
        </is>
      </c>
      <c r="E21" t="inlineStr">
        <is>
          <t>Amit Kurup</t>
        </is>
      </c>
      <c r="F21" t="inlineStr">
        <is>
          <t>Quarterly</t>
        </is>
      </c>
      <c r="H21" s="2" t="n"/>
      <c r="J21" t="inlineStr">
        <is>
          <t>Compliant</t>
        </is>
      </c>
      <c r="K21" s="2" t="n"/>
    </row>
    <row r="22">
      <c r="A22">
        <f>IF(B22="","",ROW()-1)</f>
        <v/>
      </c>
      <c r="B22" t="inlineStr">
        <is>
          <t>REAL TIME DATA REPLICATION HVR NEC 6.1.0 PROD CORP</t>
        </is>
      </c>
      <c r="C22" t="inlineStr">
        <is>
          <t>ASN0013532</t>
        </is>
      </c>
      <c r="D22" t="inlineStr">
        <is>
          <t>CORP</t>
        </is>
      </c>
      <c r="E22" t="inlineStr">
        <is>
          <t>Amit Mool</t>
        </is>
      </c>
      <c r="F22" t="inlineStr">
        <is>
          <t>Bi-annually</t>
        </is>
      </c>
      <c r="H22" s="2" t="n"/>
      <c r="J22" t="inlineStr">
        <is>
          <t>Compliant</t>
        </is>
      </c>
      <c r="K22" s="2" t="n"/>
    </row>
    <row r="23">
      <c r="A23">
        <f>IF(B23="","",ROW()-1)</f>
        <v/>
      </c>
      <c r="B23" t="inlineStr">
        <is>
          <t>CONFIGURATOR - INTELLIGRATED 12.2.12 PROD</t>
        </is>
      </c>
      <c r="C23" t="inlineStr">
        <is>
          <t>ASN0002028</t>
        </is>
      </c>
      <c r="D23" t="inlineStr">
        <is>
          <t>IA</t>
        </is>
      </c>
      <c r="E23" t="inlineStr">
        <is>
          <t>Amit Nirulkar</t>
        </is>
      </c>
      <c r="H23" s="2" t="n"/>
      <c r="J23" t="inlineStr">
        <is>
          <t>Compliant</t>
        </is>
      </c>
      <c r="K23" s="2" t="n"/>
    </row>
    <row r="24">
      <c r="A24">
        <f>IF(B24="","",ROW()-1)</f>
        <v/>
      </c>
      <c r="B24" t="inlineStr">
        <is>
          <t>SAP CFOLDERS (BFP) 7 PROD</t>
        </is>
      </c>
      <c r="C24" t="inlineStr">
        <is>
          <t>ASN0003135</t>
        </is>
      </c>
      <c r="D24" t="inlineStr">
        <is>
          <t>BA</t>
        </is>
      </c>
      <c r="E24" t="inlineStr">
        <is>
          <t>Amit Nirulkar</t>
        </is>
      </c>
      <c r="H24" s="2" t="n"/>
      <c r="J24" t="inlineStr">
        <is>
          <t>Compliant</t>
        </is>
      </c>
      <c r="K24" s="2" t="n"/>
    </row>
    <row r="25">
      <c r="A25">
        <f>IF(B25="","",ROW()-1)</f>
        <v/>
      </c>
      <c r="B25" t="inlineStr">
        <is>
          <t>IBM STERLING B2BI 6.1.0.4 PROD CORP</t>
        </is>
      </c>
      <c r="C25" t="inlineStr">
        <is>
          <t>ASN0001059</t>
        </is>
      </c>
      <c r="D25" t="inlineStr">
        <is>
          <t>CORP</t>
        </is>
      </c>
      <c r="E25" t="inlineStr">
        <is>
          <t>Ana Zamfir</t>
        </is>
      </c>
      <c r="F25" t="inlineStr">
        <is>
          <t>Quarterly</t>
        </is>
      </c>
      <c r="H25" s="2" t="n"/>
      <c r="J25" t="inlineStr">
        <is>
          <t>Compliant</t>
        </is>
      </c>
      <c r="K25" s="2" t="n"/>
    </row>
    <row r="26">
      <c r="A26">
        <f>IF(B26="","",ROW()-1)</f>
        <v/>
      </c>
      <c r="B26" t="inlineStr">
        <is>
          <t>Informatica Product Information Management 10.1 PROD</t>
        </is>
      </c>
      <c r="C26" t="inlineStr">
        <is>
          <t>ASN0001021</t>
        </is>
      </c>
      <c r="D26" t="inlineStr">
        <is>
          <t>CORP</t>
        </is>
      </c>
      <c r="E26" t="inlineStr">
        <is>
          <t>Ashwin Nayak</t>
        </is>
      </c>
      <c r="F26" t="inlineStr">
        <is>
          <t>Annually</t>
        </is>
      </c>
      <c r="H26" s="2" t="n"/>
      <c r="J26" t="inlineStr">
        <is>
          <t>Compliant</t>
        </is>
      </c>
      <c r="K26" s="2" t="n"/>
    </row>
    <row r="27">
      <c r="A27">
        <f>IF(B27="","",ROW()-1)</f>
        <v/>
      </c>
      <c r="B27" t="inlineStr">
        <is>
          <t>Informatica IDQ 10.2 HF2 PROD</t>
        </is>
      </c>
      <c r="C27" t="inlineStr">
        <is>
          <t>ASN0007040</t>
        </is>
      </c>
      <c r="D27" t="inlineStr">
        <is>
          <t>CORP</t>
        </is>
      </c>
      <c r="E27" t="inlineStr">
        <is>
          <t>Ashwin Nayak</t>
        </is>
      </c>
      <c r="F27" t="inlineStr">
        <is>
          <t>Annually</t>
        </is>
      </c>
      <c r="H27" s="2" t="n"/>
      <c r="J27" t="inlineStr">
        <is>
          <t>Compliant</t>
        </is>
      </c>
      <c r="K27" s="2" t="n"/>
    </row>
    <row r="28">
      <c r="A28">
        <f>IF(B28="","",ROW()-1)</f>
        <v/>
      </c>
      <c r="B28" t="inlineStr">
        <is>
          <t>Informatica MDM 10.3 PROD</t>
        </is>
      </c>
      <c r="C28" t="inlineStr">
        <is>
          <t>ASN0007042</t>
        </is>
      </c>
      <c r="D28" t="inlineStr">
        <is>
          <t>CORP</t>
        </is>
      </c>
      <c r="E28" t="inlineStr">
        <is>
          <t>Ashwin Nayak</t>
        </is>
      </c>
      <c r="F28" t="inlineStr">
        <is>
          <t>Annually</t>
        </is>
      </c>
      <c r="H28" s="2" t="n"/>
      <c r="J28" t="inlineStr">
        <is>
          <t>Compliant</t>
        </is>
      </c>
      <c r="K28" s="2" t="n"/>
    </row>
    <row r="29">
      <c r="A29">
        <f>IF(B29="","",ROW()-1)</f>
        <v/>
      </c>
      <c r="B29" t="inlineStr">
        <is>
          <t>OpenManage Enterprise(OpenManage Enterprise service) 4.1 PROD</t>
        </is>
      </c>
      <c r="C29" t="inlineStr">
        <is>
          <t>ASN0009493</t>
        </is>
      </c>
      <c r="D29" t="inlineStr">
        <is>
          <t>CORP</t>
        </is>
      </c>
      <c r="E29" t="inlineStr">
        <is>
          <t>Attila Valent</t>
        </is>
      </c>
      <c r="F29" t="inlineStr">
        <is>
          <t>Bi-annually</t>
        </is>
      </c>
      <c r="H29" s="2" t="n"/>
      <c r="J29" t="inlineStr">
        <is>
          <t>Non-Compliant</t>
        </is>
      </c>
      <c r="K29" s="2" t="n"/>
    </row>
    <row r="30">
      <c r="A30">
        <f>IF(B30="","",ROW()-1)</f>
        <v/>
      </c>
      <c r="B30" t="inlineStr">
        <is>
          <t>WINDSX  6.0.0.22 PROD PT</t>
        </is>
      </c>
      <c r="C30" t="inlineStr">
        <is>
          <t>ASN0000776</t>
        </is>
      </c>
      <c r="D30" t="inlineStr">
        <is>
          <t>PT</t>
        </is>
      </c>
      <c r="E30" t="inlineStr">
        <is>
          <t>David Sikes</t>
        </is>
      </c>
      <c r="F30" t="inlineStr">
        <is>
          <t>Quarterly</t>
        </is>
      </c>
      <c r="H30" s="2" t="n"/>
      <c r="J30" t="inlineStr">
        <is>
          <t>Compliant</t>
        </is>
      </c>
      <c r="K30" s="2" t="n"/>
    </row>
    <row r="31">
      <c r="A31">
        <f>IF(B31="","",ROW()-1)</f>
        <v/>
      </c>
      <c r="B31" t="inlineStr">
        <is>
          <t>SITECORE FWD 9 PROD</t>
        </is>
      </c>
      <c r="C31" t="inlineStr">
        <is>
          <t>ASN0000557</t>
        </is>
      </c>
      <c r="D31" t="inlineStr">
        <is>
          <t>CORP</t>
        </is>
      </c>
      <c r="E31" t="inlineStr">
        <is>
          <t>Deb Mal</t>
        </is>
      </c>
      <c r="H31" s="2" t="n"/>
      <c r="J31" t="inlineStr">
        <is>
          <t>Compliant</t>
        </is>
      </c>
      <c r="K31" s="2" t="n"/>
    </row>
    <row r="32">
      <c r="A32">
        <f>IF(B32="","",ROW()-1)</f>
        <v/>
      </c>
      <c r="B32" t="inlineStr">
        <is>
          <t>JOULE APPLICATIONS 7.4 PROD</t>
        </is>
      </c>
      <c r="C32" t="inlineStr">
        <is>
          <t>ASN0001424</t>
        </is>
      </c>
      <c r="D32" t="inlineStr">
        <is>
          <t>CORP</t>
        </is>
      </c>
      <c r="E32" t="inlineStr">
        <is>
          <t>Deb Mal</t>
        </is>
      </c>
      <c r="H32" s="2" t="n"/>
      <c r="J32" t="inlineStr">
        <is>
          <t>Compliant</t>
        </is>
      </c>
      <c r="K32" s="2" t="n"/>
    </row>
    <row r="33">
      <c r="A33">
        <f>IF(B33="","",ROW()-1)</f>
        <v/>
      </c>
      <c r="B33" t="inlineStr">
        <is>
          <t>Incident Response Platform - IRIS 1 PROD CORP</t>
        </is>
      </c>
      <c r="C33" t="inlineStr">
        <is>
          <t>ASN0019866</t>
        </is>
      </c>
      <c r="D33" t="inlineStr">
        <is>
          <t>CORP</t>
        </is>
      </c>
      <c r="E33" t="inlineStr">
        <is>
          <t>Dedric Mortelmans</t>
        </is>
      </c>
      <c r="H33" s="2" t="n"/>
      <c r="J33" t="inlineStr">
        <is>
          <t>Non-Compliant</t>
        </is>
      </c>
      <c r="K33" s="2" t="n"/>
    </row>
    <row r="34">
      <c r="A34">
        <f>IF(B34="","",ROW()-1)</f>
        <v/>
      </c>
      <c r="B34" t="inlineStr">
        <is>
          <t>ORACLE ERP - INTELLIGRATED 12.2.12. PROD</t>
        </is>
      </c>
      <c r="C34" t="inlineStr">
        <is>
          <t>ASN0000308</t>
        </is>
      </c>
      <c r="D34" t="inlineStr">
        <is>
          <t>IA</t>
        </is>
      </c>
      <c r="E34" t="inlineStr">
        <is>
          <t>Komal</t>
        </is>
      </c>
      <c r="F34" t="inlineStr">
        <is>
          <t>Needs Review</t>
        </is>
      </c>
      <c r="H34" s="2" t="n"/>
      <c r="J34" t="inlineStr">
        <is>
          <t>Compliant</t>
        </is>
      </c>
      <c r="K34" s="2" t="n"/>
    </row>
    <row r="35">
      <c r="A35">
        <f>IF(B35="","",ROW()-1)</f>
        <v/>
      </c>
      <c r="B35" t="inlineStr">
        <is>
          <t>ORACLE APEX - INTELLIGRATED 5.1  PROD</t>
        </is>
      </c>
      <c r="C35" t="inlineStr">
        <is>
          <t>ASN0001365</t>
        </is>
      </c>
      <c r="D35" t="inlineStr">
        <is>
          <t>IA</t>
        </is>
      </c>
      <c r="E35" t="inlineStr">
        <is>
          <t>Dinesh Garg</t>
        </is>
      </c>
      <c r="F35" t="inlineStr">
        <is>
          <t>Quarterly</t>
        </is>
      </c>
      <c r="H35" s="2" t="n"/>
      <c r="J35" t="inlineStr">
        <is>
          <t>Compliant</t>
        </is>
      </c>
      <c r="K35" s="2" t="n"/>
    </row>
    <row r="36">
      <c r="A36">
        <f>IF(B36="","",ROW()-1)</f>
        <v/>
      </c>
      <c r="B36" t="inlineStr">
        <is>
          <t>ORACLE ASCP - INTELLIGRATED 12.2.12 PROD IA</t>
        </is>
      </c>
      <c r="C36" t="inlineStr">
        <is>
          <t>ASN0015545</t>
        </is>
      </c>
      <c r="D36" t="inlineStr">
        <is>
          <t>IA</t>
        </is>
      </c>
      <c r="E36" t="inlineStr">
        <is>
          <t>Dinesh Garg</t>
        </is>
      </c>
      <c r="F36" t="inlineStr">
        <is>
          <t>Quarterly</t>
        </is>
      </c>
      <c r="H36" s="2" t="n"/>
      <c r="J36" t="inlineStr">
        <is>
          <t>Compliant</t>
        </is>
      </c>
      <c r="K36" s="2" t="n"/>
    </row>
    <row r="37">
      <c r="A37">
        <f>IF(B37="","",ROW()-1)</f>
        <v/>
      </c>
      <c r="B37" t="inlineStr">
        <is>
          <t>QUALTRAX 19.3 R3 PROD PT</t>
        </is>
      </c>
      <c r="C37" t="inlineStr">
        <is>
          <t>ASN0001033</t>
        </is>
      </c>
      <c r="D37" t="inlineStr">
        <is>
          <t>PT</t>
        </is>
      </c>
      <c r="E37" t="inlineStr">
        <is>
          <t>Edward Pagan</t>
        </is>
      </c>
      <c r="F37" t="inlineStr">
        <is>
          <t>Annually</t>
        </is>
      </c>
      <c r="H37" s="2" t="n"/>
      <c r="J37" t="inlineStr">
        <is>
          <t>Compliant</t>
        </is>
      </c>
      <c r="K37" s="2" t="n"/>
    </row>
    <row r="38">
      <c r="A38">
        <f>IF(B38="","",ROW()-1)</f>
        <v/>
      </c>
      <c r="B38" t="inlineStr">
        <is>
          <t>CHEMLAUNCH 1.0 PROD PT</t>
        </is>
      </c>
      <c r="C38" t="inlineStr">
        <is>
          <t>ASN0001301</t>
        </is>
      </c>
      <c r="D38" t="inlineStr">
        <is>
          <t>PT</t>
        </is>
      </c>
      <c r="E38" t="inlineStr">
        <is>
          <t>Edward Pagan</t>
        </is>
      </c>
      <c r="F38" t="inlineStr">
        <is>
          <t>anu</t>
        </is>
      </c>
      <c r="H38" s="2" t="n"/>
      <c r="J38" t="inlineStr">
        <is>
          <t>Compliant</t>
        </is>
      </c>
      <c r="K38" s="2" t="n"/>
    </row>
    <row r="39">
      <c r="A39">
        <f>IF(B39="","",ROW()-1)</f>
        <v/>
      </c>
      <c r="B39" t="inlineStr">
        <is>
          <t>CHROMELEON 12.1 PROD PT</t>
        </is>
      </c>
      <c r="C39" t="inlineStr">
        <is>
          <t>ASN0002975</t>
        </is>
      </c>
      <c r="D39" t="inlineStr">
        <is>
          <t>PT</t>
        </is>
      </c>
      <c r="E39" t="inlineStr">
        <is>
          <t>Edward Pagan</t>
        </is>
      </c>
      <c r="H39" s="2" t="n"/>
      <c r="J39" t="inlineStr">
        <is>
          <t>Compliant</t>
        </is>
      </c>
      <c r="K39" s="2" t="n"/>
    </row>
    <row r="40">
      <c r="A40">
        <f>IF(B40="","",ROW()-1)</f>
        <v/>
      </c>
      <c r="B40" t="inlineStr">
        <is>
          <t>OpenLab 2.8 PROD PT</t>
        </is>
      </c>
      <c r="C40" t="inlineStr">
        <is>
          <t>ASN0022437</t>
        </is>
      </c>
      <c r="D40" t="inlineStr">
        <is>
          <t>PT</t>
        </is>
      </c>
      <c r="E40" t="inlineStr">
        <is>
          <t>Edward Pagan</t>
        </is>
      </c>
      <c r="H40" s="2" t="n"/>
      <c r="J40" t="inlineStr">
        <is>
          <t>Non-Compliant</t>
        </is>
      </c>
      <c r="K40" s="2" t="n"/>
    </row>
    <row r="41">
      <c r="A41">
        <f>IF(B41="","",ROW()-1)</f>
        <v/>
      </c>
      <c r="B41" t="inlineStr">
        <is>
          <t>INFORMATICA POWERCENTER 10.5 HF6 PROD CORP</t>
        </is>
      </c>
      <c r="C41" t="inlineStr">
        <is>
          <t>ASN0007041</t>
        </is>
      </c>
      <c r="D41" t="inlineStr">
        <is>
          <t>CORP</t>
        </is>
      </c>
      <c r="E41" t="inlineStr">
        <is>
          <t>Gajanan Shinde</t>
        </is>
      </c>
      <c r="F41" t="inlineStr">
        <is>
          <t>Quarterly</t>
        </is>
      </c>
      <c r="H41" s="2" t="n"/>
      <c r="J41" t="inlineStr">
        <is>
          <t>Compliant</t>
        </is>
      </c>
      <c r="K41" s="2" t="n"/>
    </row>
    <row r="42">
      <c r="A42">
        <f>IF(B42="","",ROW()-1)</f>
        <v/>
      </c>
      <c r="B42" t="inlineStr">
        <is>
          <t>Control-M 9.0.22 PROD CORP</t>
        </is>
      </c>
      <c r="C42" t="inlineStr">
        <is>
          <t>ASN0014230</t>
        </is>
      </c>
      <c r="D42" t="inlineStr">
        <is>
          <t>CORP</t>
        </is>
      </c>
      <c r="E42" t="inlineStr">
        <is>
          <t>Gajanan Shinde</t>
        </is>
      </c>
      <c r="F42" t="inlineStr">
        <is>
          <t>Bi-annually</t>
        </is>
      </c>
      <c r="H42" s="2" t="n"/>
      <c r="J42" t="inlineStr">
        <is>
          <t>Compliant</t>
        </is>
      </c>
      <c r="K42" s="2" t="n"/>
    </row>
    <row r="43">
      <c r="A43">
        <f>IF(B43="","",ROW()-1)</f>
        <v/>
      </c>
      <c r="B43" t="inlineStr">
        <is>
          <t>HighSpot 1 PROD CORP</t>
        </is>
      </c>
      <c r="C43" t="inlineStr">
        <is>
          <t>ASN0015742</t>
        </is>
      </c>
      <c r="D43" t="inlineStr">
        <is>
          <t>CORP</t>
        </is>
      </c>
      <c r="E43" t="inlineStr">
        <is>
          <t>Gaurang Parmar</t>
        </is>
      </c>
      <c r="H43" s="2" t="n"/>
      <c r="J43" t="inlineStr">
        <is>
          <t>Non-Compliant</t>
        </is>
      </c>
      <c r="K43" s="2" t="n"/>
    </row>
    <row r="44">
      <c r="A44">
        <f>IF(B44="","",ROW()-1)</f>
        <v/>
      </c>
      <c r="B44" t="inlineStr">
        <is>
          <t>HR ANALYTICS-ORACLE-OBIEE</t>
        </is>
      </c>
      <c r="C44" t="inlineStr">
        <is>
          <t>ASN0000103</t>
        </is>
      </c>
      <c r="D44" t="inlineStr">
        <is>
          <t>CORP</t>
        </is>
      </c>
      <c r="E44" t="inlineStr">
        <is>
          <t>Devi</t>
        </is>
      </c>
      <c r="F44" t="inlineStr">
        <is>
          <t>Needs Review</t>
        </is>
      </c>
      <c r="H44" s="2" t="n"/>
      <c r="J44" t="inlineStr">
        <is>
          <t>Non-compliant</t>
        </is>
      </c>
      <c r="K44" s="2" t="n">
        <v>46266</v>
      </c>
    </row>
    <row r="45">
      <c r="A45">
        <f>IF(B45="","",ROW()-1)</f>
        <v/>
      </c>
      <c r="B45" t="inlineStr">
        <is>
          <t>PEOPLESOFT 9.2 PROD CORP</t>
        </is>
      </c>
      <c r="C45" t="inlineStr">
        <is>
          <t>ASN0000248</t>
        </is>
      </c>
      <c r="D45" t="inlineStr">
        <is>
          <t>CORP</t>
        </is>
      </c>
      <c r="E45" t="inlineStr">
        <is>
          <t>Siddharth</t>
        </is>
      </c>
      <c r="F45" t="inlineStr">
        <is>
          <t>Needs Review</t>
        </is>
      </c>
      <c r="H45" s="2" t="n"/>
      <c r="J45" t="inlineStr">
        <is>
          <t>Compliant</t>
        </is>
      </c>
      <c r="K45" s="2" t="inlineStr">
        <is>
          <t>2026-7-15</t>
        </is>
      </c>
    </row>
    <row r="46">
      <c r="A46">
        <f>IF(B46="","",ROW()-1)</f>
        <v/>
      </c>
      <c r="B46" t="inlineStr">
        <is>
          <t>HR DIRECT 1.0 PROD</t>
        </is>
      </c>
      <c r="C46" t="inlineStr">
        <is>
          <t>ASN0000408</t>
        </is>
      </c>
      <c r="D46" t="inlineStr">
        <is>
          <t>CORP</t>
        </is>
      </c>
      <c r="E46" t="inlineStr">
        <is>
          <t>Hozefa Sihorwala</t>
        </is>
      </c>
      <c r="H46" s="2" t="n"/>
      <c r="J46" t="inlineStr">
        <is>
          <t>Compliant</t>
        </is>
      </c>
      <c r="K46" s="2" t="inlineStr">
        <is>
          <t>2026-7-15</t>
        </is>
      </c>
    </row>
    <row r="47">
      <c r="A47">
        <f>IF(B47="","",ROW()-1)</f>
        <v/>
      </c>
      <c r="B47" t="inlineStr">
        <is>
          <t>GLOBAL COMPENSATION 1.0 PROD</t>
        </is>
      </c>
      <c r="C47" t="inlineStr">
        <is>
          <t>ASN0001316</t>
        </is>
      </c>
      <c r="D47" t="inlineStr">
        <is>
          <t>CORP</t>
        </is>
      </c>
      <c r="E47" t="inlineStr">
        <is>
          <t>Hozefa Sihorwala</t>
        </is>
      </c>
      <c r="H47" s="2" t="n"/>
      <c r="J47" t="inlineStr">
        <is>
          <t>Compliant</t>
        </is>
      </c>
      <c r="K47" s="2" t="inlineStr">
        <is>
          <t>2026-7-15</t>
        </is>
      </c>
    </row>
    <row r="48">
      <c r="A48">
        <f>IF(B48="","",ROW()-1)</f>
        <v/>
      </c>
      <c r="B48" t="inlineStr">
        <is>
          <t>Oracle HCM Integration Cloud Gen 3 PROD CORP</t>
        </is>
      </c>
      <c r="C48" t="inlineStr">
        <is>
          <t>ASN0016079</t>
        </is>
      </c>
      <c r="D48" t="inlineStr">
        <is>
          <t>CORP</t>
        </is>
      </c>
      <c r="E48" t="inlineStr">
        <is>
          <t>Hozefa Sihorwala</t>
        </is>
      </c>
      <c r="F48" t="inlineStr">
        <is>
          <t>Bi-annually</t>
        </is>
      </c>
      <c r="H48" s="2" t="n"/>
      <c r="J48" t="inlineStr">
        <is>
          <t>Compliant</t>
        </is>
      </c>
      <c r="K48" s="2" t="inlineStr">
        <is>
          <t>2026-7-10</t>
        </is>
      </c>
    </row>
    <row r="49">
      <c r="A49">
        <f>IF(B49="","",ROW()-1)</f>
        <v/>
      </c>
      <c r="B49" t="inlineStr">
        <is>
          <t>Oracle HCM 24A PROD CORP</t>
        </is>
      </c>
      <c r="C49" t="inlineStr">
        <is>
          <t>ASN0016085</t>
        </is>
      </c>
      <c r="D49" t="inlineStr">
        <is>
          <t>CORP</t>
        </is>
      </c>
      <c r="E49" t="inlineStr">
        <is>
          <t>Hozefa Sihorwala</t>
        </is>
      </c>
      <c r="F49" t="inlineStr">
        <is>
          <t>Quarterly</t>
        </is>
      </c>
      <c r="H49" s="2" t="n"/>
      <c r="J49" t="inlineStr">
        <is>
          <t>Compliant</t>
        </is>
      </c>
      <c r="K49" s="2" t="inlineStr">
        <is>
          <t>2026-7-10</t>
        </is>
      </c>
    </row>
    <row r="50">
      <c r="A50">
        <f>IF(B50="","",ROW()-1)</f>
        <v/>
      </c>
      <c r="B50" t="inlineStr">
        <is>
          <t>Blancco Blancco Drive Eraser - Enterprise Volume Edition 7.15.0 PROD CORP</t>
        </is>
      </c>
      <c r="C50" t="inlineStr">
        <is>
          <t>ASN0019711</t>
        </is>
      </c>
      <c r="D50" t="inlineStr">
        <is>
          <t>CORP</t>
        </is>
      </c>
      <c r="E50" t="inlineStr">
        <is>
          <t>Iain Young</t>
        </is>
      </c>
      <c r="F50" t="inlineStr">
        <is>
          <t>Quarterly</t>
        </is>
      </c>
      <c r="H50" s="2" t="n"/>
      <c r="J50" t="inlineStr">
        <is>
          <t>Non-Compliant</t>
        </is>
      </c>
      <c r="K50" s="2" t="n"/>
    </row>
    <row r="51">
      <c r="A51">
        <f>IF(B51="","",ROW()-1)</f>
        <v/>
      </c>
      <c r="B51" t="inlineStr">
        <is>
          <t>SHAREPOINT BUSINESS INTELLIGENCE 2016 PROD</t>
        </is>
      </c>
      <c r="C51" t="inlineStr">
        <is>
          <t>ASN0000160</t>
        </is>
      </c>
      <c r="D51" t="inlineStr">
        <is>
          <t>AERO</t>
        </is>
      </c>
      <c r="E51" t="inlineStr">
        <is>
          <t>Adele Vance</t>
        </is>
      </c>
      <c r="F51" t="inlineStr">
        <is>
          <t>Needs Review</t>
        </is>
      </c>
      <c r="H51" s="2" t="n"/>
      <c r="J51" t="inlineStr">
        <is>
          <t>Non-Compliant</t>
        </is>
      </c>
      <c r="K51" s="2" t="n"/>
    </row>
    <row r="52">
      <c r="A52">
        <f>IF(B52="","",ROW()-1)</f>
        <v/>
      </c>
      <c r="B52" t="inlineStr">
        <is>
          <t>SharePoint 2016 Non-ITAR PROD CORP</t>
        </is>
      </c>
      <c r="C52" t="inlineStr">
        <is>
          <t>ASN0000792</t>
        </is>
      </c>
      <c r="D52" t="inlineStr">
        <is>
          <t>CORP</t>
        </is>
      </c>
      <c r="E52" t="inlineStr">
        <is>
          <t>Jagadeesh Nethakara</t>
        </is>
      </c>
      <c r="F52" t="inlineStr">
        <is>
          <t>Quarterly</t>
        </is>
      </c>
      <c r="H52" s="2" t="n"/>
      <c r="J52" t="inlineStr">
        <is>
          <t>Non-Compliant</t>
        </is>
      </c>
      <c r="K52" s="2" t="n"/>
    </row>
    <row r="53">
      <c r="A53">
        <f>IF(B53="","",ROW()-1)</f>
        <v/>
      </c>
      <c r="B53" t="inlineStr">
        <is>
          <t>Fire Alarms Cause &amp; Effect Tool (FACET) PROD</t>
        </is>
      </c>
      <c r="C53" t="inlineStr">
        <is>
          <t>ASN0001359</t>
        </is>
      </c>
      <c r="D53" t="inlineStr">
        <is>
          <t>BA</t>
        </is>
      </c>
      <c r="E53" t="inlineStr">
        <is>
          <t>Jagdeesh Subramanian</t>
        </is>
      </c>
      <c r="F53" t="inlineStr">
        <is>
          <t>Vendor Dependent</t>
        </is>
      </c>
      <c r="H53" s="2" t="n"/>
      <c r="J53" t="inlineStr">
        <is>
          <t>Compliant</t>
        </is>
      </c>
      <c r="K53" s="2" t="n"/>
    </row>
    <row r="54">
      <c r="A54">
        <f>IF(B54="","",ROW()-1)</f>
        <v/>
      </c>
      <c r="B54" t="inlineStr">
        <is>
          <t>AzureIOT_AI GA release of IoT Hub PROD BA</t>
        </is>
      </c>
      <c r="C54" t="inlineStr">
        <is>
          <t>ASN0016369</t>
        </is>
      </c>
      <c r="D54" t="inlineStr">
        <is>
          <t>BA</t>
        </is>
      </c>
      <c r="E54" t="inlineStr">
        <is>
          <t>Jagdeesh Subramanian</t>
        </is>
      </c>
      <c r="F54" t="inlineStr">
        <is>
          <t>Quarterly</t>
        </is>
      </c>
      <c r="H54" s="2" t="n"/>
      <c r="J54" t="inlineStr">
        <is>
          <t>Compliant</t>
        </is>
      </c>
      <c r="K54" s="2" t="n"/>
    </row>
    <row r="55">
      <c r="A55">
        <f>IF(B55="","",ROW()-1)</f>
        <v/>
      </c>
      <c r="B55" t="inlineStr">
        <is>
          <t>Lenel Onguard Web 1 PROD BA</t>
        </is>
      </c>
      <c r="C55" t="inlineStr">
        <is>
          <t>ASN0022699</t>
        </is>
      </c>
      <c r="D55" t="inlineStr">
        <is>
          <t>BA</t>
        </is>
      </c>
      <c r="E55" t="inlineStr">
        <is>
          <t>Jagdeesh Subramanian</t>
        </is>
      </c>
      <c r="F55" t="inlineStr">
        <is>
          <t>Monthly</t>
        </is>
      </c>
      <c r="H55" s="2" t="n"/>
      <c r="J55" t="inlineStr">
        <is>
          <t>Compliant</t>
        </is>
      </c>
      <c r="K55" s="2" t="n"/>
    </row>
    <row r="56">
      <c r="A56">
        <f>IF(B56="","",ROW()-1)</f>
        <v/>
      </c>
      <c r="B56" t="inlineStr">
        <is>
          <t>SAP CRM (BYP) 7.02 PROD</t>
        </is>
      </c>
      <c r="C56" t="inlineStr">
        <is>
          <t>ASN0000638</t>
        </is>
      </c>
      <c r="D56" t="inlineStr">
        <is>
          <t>IA</t>
        </is>
      </c>
      <c r="E56" t="inlineStr">
        <is>
          <t>Jaroslav Filip</t>
        </is>
      </c>
      <c r="F56" t="inlineStr">
        <is>
          <t>Quarterly</t>
        </is>
      </c>
      <c r="H56" s="2" t="n"/>
      <c r="J56" t="inlineStr">
        <is>
          <t>Compliant</t>
        </is>
      </c>
      <c r="K56" s="2" t="inlineStr">
        <is>
          <t>2026-7-24</t>
        </is>
      </c>
    </row>
    <row r="57">
      <c r="A57">
        <f>IF(B57="","",ROW()-1)</f>
        <v/>
      </c>
      <c r="B57" t="inlineStr">
        <is>
          <t>CCC AVEVA PI IA22 1 PROD PA</t>
        </is>
      </c>
      <c r="C57" t="inlineStr">
        <is>
          <t>ASN0016010</t>
        </is>
      </c>
      <c r="D57" t="inlineStr">
        <is>
          <t>PA</t>
        </is>
      </c>
      <c r="E57" t="inlineStr">
        <is>
          <t>Jonathan Hull</t>
        </is>
      </c>
      <c r="H57" s="2" t="n"/>
      <c r="J57" t="inlineStr">
        <is>
          <t>Non-Compliant</t>
        </is>
      </c>
      <c r="K57" s="2" t="n"/>
    </row>
    <row r="58">
      <c r="A58">
        <f>IF(B58="","",ROW()-1)</f>
        <v/>
      </c>
      <c r="B58" t="inlineStr">
        <is>
          <t>HONEYWELL BARTENDER STANDALONE 1.0 PROD</t>
        </is>
      </c>
      <c r="C58" t="inlineStr">
        <is>
          <t>ASN0001285</t>
        </is>
      </c>
      <c r="D58" t="inlineStr">
        <is>
          <t>CORP</t>
        </is>
      </c>
      <c r="E58" t="inlineStr">
        <is>
          <t>Jose Antonio Hernandez</t>
        </is>
      </c>
      <c r="F58" t="inlineStr">
        <is>
          <t>Annually</t>
        </is>
      </c>
      <c r="H58" s="2" t="n"/>
      <c r="J58" t="inlineStr">
        <is>
          <t>Compliant</t>
        </is>
      </c>
      <c r="K58" s="2" t="inlineStr">
        <is>
          <t>2026-7-10</t>
        </is>
      </c>
    </row>
    <row r="59">
      <c r="A59">
        <f>IF(B59="","",ROW()-1)</f>
        <v/>
      </c>
      <c r="B59" t="inlineStr">
        <is>
          <t>Bartender - UK2F 2022 PROD</t>
        </is>
      </c>
      <c r="C59" t="inlineStr">
        <is>
          <t>ASN0001553</t>
        </is>
      </c>
      <c r="D59" t="inlineStr">
        <is>
          <t>IA</t>
        </is>
      </c>
      <c r="E59" t="inlineStr">
        <is>
          <t>Jose Antonio Hernandez</t>
        </is>
      </c>
      <c r="F59" t="inlineStr">
        <is>
          <t>Annually</t>
        </is>
      </c>
      <c r="H59" s="2" t="n"/>
      <c r="J59" t="inlineStr">
        <is>
          <t>Compliant</t>
        </is>
      </c>
      <c r="K59" s="2" t="n"/>
    </row>
    <row r="60">
      <c r="A60">
        <f>IF(B60="","",ROW()-1)</f>
        <v/>
      </c>
      <c r="B60" t="inlineStr">
        <is>
          <t>BARTENDER 2022 PROD CORP</t>
        </is>
      </c>
      <c r="C60" t="inlineStr">
        <is>
          <t>ASN0002436</t>
        </is>
      </c>
      <c r="D60" t="inlineStr">
        <is>
          <t>CORP</t>
        </is>
      </c>
      <c r="E60" t="inlineStr">
        <is>
          <t>Jose Antonio Hernandez</t>
        </is>
      </c>
      <c r="F60" t="inlineStr">
        <is>
          <t>Annually</t>
        </is>
      </c>
      <c r="H60" s="2" t="n"/>
      <c r="J60" t="inlineStr">
        <is>
          <t>Compliant</t>
        </is>
      </c>
      <c r="K60" s="2" t="inlineStr">
        <is>
          <t>2026-7-10</t>
        </is>
      </c>
    </row>
    <row r="61">
      <c r="A61">
        <f>IF(B61="","",ROW()-1)</f>
        <v/>
      </c>
      <c r="B61" t="inlineStr">
        <is>
          <t>CAYOSOFT 4.0 PROD CORP</t>
        </is>
      </c>
      <c r="C61" t="inlineStr">
        <is>
          <t>ASN0006770</t>
        </is>
      </c>
      <c r="D61" t="inlineStr">
        <is>
          <t>CORP</t>
        </is>
      </c>
      <c r="E61" t="inlineStr">
        <is>
          <t>Keni Foreman</t>
        </is>
      </c>
      <c r="H61" s="2" t="n"/>
      <c r="J61" t="inlineStr">
        <is>
          <t>Compliant</t>
        </is>
      </c>
      <c r="K61" s="2" t="n"/>
    </row>
    <row r="62">
      <c r="A62">
        <f>IF(B62="","",ROW()-1)</f>
        <v/>
      </c>
      <c r="B62" t="inlineStr">
        <is>
          <t>CAYOSOFT 10 PROD CORP</t>
        </is>
      </c>
      <c r="C62" t="inlineStr">
        <is>
          <t>ASN0013970</t>
        </is>
      </c>
      <c r="D62" t="inlineStr">
        <is>
          <t>CORP</t>
        </is>
      </c>
      <c r="E62" t="inlineStr">
        <is>
          <t>Keni Foreman</t>
        </is>
      </c>
      <c r="H62" s="2" t="n"/>
      <c r="J62" t="inlineStr">
        <is>
          <t>Non-Compliant</t>
        </is>
      </c>
      <c r="K62" s="2" t="n"/>
    </row>
    <row r="63">
      <c r="A63">
        <f>IF(B63="","",ROW()-1)</f>
        <v/>
      </c>
      <c r="B63" t="inlineStr">
        <is>
          <t>JFROG ARTIFACTORY NA 5.4.5 PROD</t>
        </is>
      </c>
      <c r="C63" t="inlineStr">
        <is>
          <t>ASN0000290</t>
        </is>
      </c>
      <c r="D63" t="inlineStr">
        <is>
          <t>CORP</t>
        </is>
      </c>
      <c r="E63" t="inlineStr">
        <is>
          <t>Komal</t>
        </is>
      </c>
      <c r="F63" t="inlineStr">
        <is>
          <t>Needs Review</t>
        </is>
      </c>
      <c r="H63" s="2" t="n"/>
      <c r="J63" t="inlineStr">
        <is>
          <t>Compliant</t>
        </is>
      </c>
      <c r="K63" s="2" t="n"/>
    </row>
    <row r="64">
      <c r="A64">
        <f>IF(B64="","",ROW()-1)</f>
        <v/>
      </c>
      <c r="B64" t="inlineStr">
        <is>
          <t>JIRA 9.10 PROD CORP</t>
        </is>
      </c>
      <c r="C64" t="inlineStr">
        <is>
          <t>ASN0000464</t>
        </is>
      </c>
      <c r="D64" t="inlineStr">
        <is>
          <t>CORP</t>
        </is>
      </c>
      <c r="E64" t="inlineStr">
        <is>
          <t>Krippashankar Yadav</t>
        </is>
      </c>
      <c r="H64" s="2" t="n"/>
      <c r="J64" t="inlineStr">
        <is>
          <t>Non-Compliant</t>
        </is>
      </c>
      <c r="K64" s="2" t="n"/>
    </row>
    <row r="65">
      <c r="A65">
        <f>IF(B65="","",ROW()-1)</f>
        <v/>
      </c>
      <c r="B65" t="inlineStr">
        <is>
          <t>JAMA  - HON Standard Instance 1.0 PROD</t>
        </is>
      </c>
      <c r="C65" t="inlineStr">
        <is>
          <t>ASN0000521</t>
        </is>
      </c>
      <c r="D65" t="inlineStr">
        <is>
          <t>CORP</t>
        </is>
      </c>
      <c r="E65" t="inlineStr">
        <is>
          <t>Krippashankar Yadav</t>
        </is>
      </c>
      <c r="H65" s="2" t="n"/>
      <c r="J65" t="inlineStr">
        <is>
          <t>Compliant</t>
        </is>
      </c>
      <c r="K65" s="2" t="n"/>
    </row>
    <row r="66">
      <c r="A66">
        <f>IF(B66="","",ROW()-1)</f>
        <v/>
      </c>
      <c r="B66" t="inlineStr">
        <is>
          <t>TEAM FOUNDATION SERVER - INTELLIGRATED 2013 PROD</t>
        </is>
      </c>
      <c r="C66" t="inlineStr">
        <is>
          <t>ASN0000627</t>
        </is>
      </c>
      <c r="D66" t="inlineStr">
        <is>
          <t>IA</t>
        </is>
      </c>
      <c r="E66" t="inlineStr">
        <is>
          <t>Krippashankar Yadav</t>
        </is>
      </c>
      <c r="H66" s="2" t="n"/>
      <c r="J66" t="inlineStr">
        <is>
          <t>Compliant</t>
        </is>
      </c>
      <c r="K66" s="2" t="n"/>
    </row>
    <row r="67">
      <c r="A67">
        <f>IF(B67="","",ROW()-1)</f>
        <v/>
      </c>
      <c r="B67" t="inlineStr">
        <is>
          <t>SONARQUBE  - HON Standard Instance 5.6.6 PROD</t>
        </is>
      </c>
      <c r="C67" t="inlineStr">
        <is>
          <t>ASN0000711</t>
        </is>
      </c>
      <c r="D67" t="inlineStr">
        <is>
          <t>CORP</t>
        </is>
      </c>
      <c r="E67" t="inlineStr">
        <is>
          <t>Krippashankar Yadav</t>
        </is>
      </c>
      <c r="F67" t="inlineStr">
        <is>
          <t>Biannually</t>
        </is>
      </c>
      <c r="H67" s="2" t="n"/>
      <c r="J67" t="inlineStr">
        <is>
          <t>Compliant</t>
        </is>
      </c>
      <c r="K67" s="2" t="n"/>
    </row>
    <row r="68">
      <c r="A68">
        <f>IF(B68="","",ROW()-1)</f>
        <v/>
      </c>
      <c r="B68" t="inlineStr">
        <is>
          <t>JIRA MOVILIZER 6.4.14 PROD</t>
        </is>
      </c>
      <c r="C68" t="inlineStr">
        <is>
          <t>ASN0000926</t>
        </is>
      </c>
      <c r="D68" t="inlineStr">
        <is>
          <t>CORP</t>
        </is>
      </c>
      <c r="E68" t="inlineStr">
        <is>
          <t>Krippashankar Yadav</t>
        </is>
      </c>
      <c r="H68" s="2" t="n"/>
      <c r="J68" t="inlineStr">
        <is>
          <t>Compliant</t>
        </is>
      </c>
      <c r="K68" s="2" t="n"/>
    </row>
    <row r="69">
      <c r="A69">
        <f>IF(B69="","",ROW()-1)</f>
        <v/>
      </c>
      <c r="B69" t="inlineStr">
        <is>
          <t>JIRA Datacenter</t>
        </is>
      </c>
      <c r="C69" t="inlineStr">
        <is>
          <t>ASN0000927</t>
        </is>
      </c>
      <c r="D69" t="inlineStr">
        <is>
          <t>CORP</t>
        </is>
      </c>
      <c r="E69" t="inlineStr">
        <is>
          <t>Krippashankar Yadav</t>
        </is>
      </c>
      <c r="H69" s="2" t="n"/>
      <c r="J69" t="inlineStr">
        <is>
          <t>Compliant</t>
        </is>
      </c>
      <c r="K69" s="2" t="n"/>
    </row>
    <row r="70">
      <c r="A70">
        <f>IF(B70="","",ROW()-1)</f>
        <v/>
      </c>
      <c r="B70" t="inlineStr">
        <is>
          <t>BITBUCKET 8.9.1 PROD CORP</t>
        </is>
      </c>
      <c r="C70" t="inlineStr">
        <is>
          <t>ASN0001378</t>
        </is>
      </c>
      <c r="D70" t="inlineStr">
        <is>
          <t>CORP</t>
        </is>
      </c>
      <c r="E70" t="inlineStr">
        <is>
          <t>Krippashankar Yadav</t>
        </is>
      </c>
      <c r="H70" s="2" t="n"/>
      <c r="J70" t="inlineStr">
        <is>
          <t>Compliant</t>
        </is>
      </c>
      <c r="K70" s="2" t="n"/>
    </row>
    <row r="71">
      <c r="A71">
        <f>IF(B71="","",ROW()-1)</f>
        <v/>
      </c>
      <c r="B71" t="inlineStr">
        <is>
          <t>IBM RATIONAL SYNERGY 5.3 PROD CORP</t>
        </is>
      </c>
      <c r="C71" t="inlineStr">
        <is>
          <t>ASN0001470</t>
        </is>
      </c>
      <c r="D71" t="inlineStr">
        <is>
          <t>CORP</t>
        </is>
      </c>
      <c r="E71" t="inlineStr">
        <is>
          <t>Krippashankar Yadav</t>
        </is>
      </c>
      <c r="H71" s="2" t="n"/>
      <c r="J71" t="inlineStr">
        <is>
          <t>Compliant</t>
        </is>
      </c>
      <c r="K71" s="2" t="n"/>
    </row>
    <row r="72">
      <c r="A72">
        <f>IF(B72="","",ROW()-1)</f>
        <v/>
      </c>
      <c r="B72" t="inlineStr">
        <is>
          <t>AERO JAMA 2015.2 PROD</t>
        </is>
      </c>
      <c r="C72" t="inlineStr">
        <is>
          <t>ASN0001645</t>
        </is>
      </c>
      <c r="D72" t="inlineStr">
        <is>
          <t>CORP</t>
        </is>
      </c>
      <c r="E72" t="inlineStr">
        <is>
          <t>Krippashankar Yadav</t>
        </is>
      </c>
      <c r="H72" s="2" t="n"/>
      <c r="J72" t="inlineStr">
        <is>
          <t>Non-Compliant</t>
        </is>
      </c>
      <c r="K72" s="2" t="n"/>
    </row>
    <row r="73">
      <c r="A73">
        <f>IF(B73="","",ROW()-1)</f>
        <v/>
      </c>
      <c r="B73" t="inlineStr">
        <is>
          <t>BAMBOO 9.2.7 PROD CORP</t>
        </is>
      </c>
      <c r="C73" t="inlineStr">
        <is>
          <t>ASN0002183</t>
        </is>
      </c>
      <c r="D73" t="inlineStr">
        <is>
          <t>CORP</t>
        </is>
      </c>
      <c r="E73" t="inlineStr">
        <is>
          <t>Krippashankar Yadav</t>
        </is>
      </c>
      <c r="H73" s="2" t="n"/>
      <c r="J73" t="inlineStr">
        <is>
          <t>Compliant</t>
        </is>
      </c>
      <c r="K73" s="2" t="n"/>
    </row>
    <row r="74">
      <c r="A74">
        <f>IF(B74="","",ROW()-1)</f>
        <v/>
      </c>
      <c r="B74" t="inlineStr">
        <is>
          <t>JENKINS 1.1.0.0 PROD</t>
        </is>
      </c>
      <c r="C74" t="inlineStr">
        <is>
          <t>ASN0002476</t>
        </is>
      </c>
      <c r="D74" t="inlineStr">
        <is>
          <t>BA</t>
        </is>
      </c>
      <c r="E74" t="inlineStr">
        <is>
          <t>Krippashankar Yadav</t>
        </is>
      </c>
      <c r="F74" t="inlineStr">
        <is>
          <t>Biannually</t>
        </is>
      </c>
      <c r="H74" s="2" t="n"/>
      <c r="J74" t="inlineStr">
        <is>
          <t>Compliant</t>
        </is>
      </c>
      <c r="K74" s="2" t="n"/>
    </row>
    <row r="75">
      <c r="A75">
        <f>IF(B75="","",ROW()-1)</f>
        <v/>
      </c>
      <c r="B75" t="inlineStr">
        <is>
          <t>IAR EMBEDDED WORKBENCH LICENCE SERVER 1.0 PROD</t>
        </is>
      </c>
      <c r="C75" t="inlineStr">
        <is>
          <t>ASN0002653</t>
        </is>
      </c>
      <c r="D75" t="inlineStr">
        <is>
          <t>CORP</t>
        </is>
      </c>
      <c r="E75" t="inlineStr">
        <is>
          <t>Krippashankar Yadav</t>
        </is>
      </c>
      <c r="H75" s="2" t="n"/>
      <c r="J75" t="inlineStr">
        <is>
          <t>Compliant</t>
        </is>
      </c>
      <c r="K75" s="2" t="n"/>
    </row>
    <row r="76">
      <c r="A76">
        <f>IF(B76="","",ROW()-1)</f>
        <v/>
      </c>
      <c r="B76" t="inlineStr">
        <is>
          <t>MERCURIAL SCM VA51 2.9 PROD</t>
        </is>
      </c>
      <c r="C76" t="inlineStr">
        <is>
          <t>ASN0002668</t>
        </is>
      </c>
      <c r="D76" t="inlineStr">
        <is>
          <t>CORP</t>
        </is>
      </c>
      <c r="E76" t="inlineStr">
        <is>
          <t>Krippashankar Yadav</t>
        </is>
      </c>
      <c r="H76" s="2" t="n"/>
      <c r="J76" t="inlineStr">
        <is>
          <t>Compliant</t>
        </is>
      </c>
      <c r="K76" s="2" t="n"/>
    </row>
    <row r="77">
      <c r="A77">
        <f>IF(B77="","",ROW()-1)</f>
        <v/>
      </c>
      <c r="B77" t="inlineStr">
        <is>
          <t>IBM CLEAR CASE 9.1.0.3 PROD PA</t>
        </is>
      </c>
      <c r="C77" t="inlineStr">
        <is>
          <t>ASN0002706</t>
        </is>
      </c>
      <c r="D77" t="inlineStr">
        <is>
          <t>PA</t>
        </is>
      </c>
      <c r="E77" t="inlineStr">
        <is>
          <t>Krippashankar Yadav</t>
        </is>
      </c>
      <c r="F77" t="inlineStr">
        <is>
          <t>Quarterly</t>
        </is>
      </c>
      <c r="H77" s="2" t="n"/>
      <c r="J77" t="inlineStr">
        <is>
          <t>Compliant</t>
        </is>
      </c>
      <c r="K77" s="2" t="n"/>
    </row>
    <row r="78">
      <c r="A78">
        <f>IF(B78="","",ROW()-1)</f>
        <v/>
      </c>
      <c r="B78" t="inlineStr">
        <is>
          <t>CROWD - HON Standard Instance 2.8.3 PROD</t>
        </is>
      </c>
      <c r="C78" t="inlineStr">
        <is>
          <t>ASN0002712</t>
        </is>
      </c>
      <c r="D78" t="inlineStr">
        <is>
          <t>CORP</t>
        </is>
      </c>
      <c r="E78" t="inlineStr">
        <is>
          <t>Krippashankar Yadav</t>
        </is>
      </c>
      <c r="F78" t="inlineStr">
        <is>
          <t>Annually</t>
        </is>
      </c>
      <c r="H78" s="2" t="n"/>
      <c r="J78" t="inlineStr">
        <is>
          <t>Compliant</t>
        </is>
      </c>
      <c r="K78" s="2" t="n"/>
    </row>
    <row r="79">
      <c r="A79">
        <f>IF(B79="","",ROW()-1)</f>
        <v/>
      </c>
      <c r="B79" t="inlineStr">
        <is>
          <t>OCTOPUS DEPLOY  - HON Standard Instance Cloud PROD</t>
        </is>
      </c>
      <c r="C79" t="inlineStr">
        <is>
          <t>ASN0002881</t>
        </is>
      </c>
      <c r="D79" t="inlineStr">
        <is>
          <t>CORP</t>
        </is>
      </c>
      <c r="E79" t="inlineStr">
        <is>
          <t>Krippashankar Yadav</t>
        </is>
      </c>
      <c r="F79" t="inlineStr">
        <is>
          <t>Biannually</t>
        </is>
      </c>
      <c r="H79" s="2" t="n"/>
      <c r="J79" t="inlineStr">
        <is>
          <t>Compliant</t>
        </is>
      </c>
      <c r="K79" s="2" t="n"/>
    </row>
    <row r="80">
      <c r="A80">
        <f>IF(B80="","",ROW()-1)</f>
        <v/>
      </c>
      <c r="B80" t="inlineStr">
        <is>
          <t>SUBVERSION - HON Standard Instance 3.2.1 PROD</t>
        </is>
      </c>
      <c r="C80" t="inlineStr">
        <is>
          <t>ASN0003119</t>
        </is>
      </c>
      <c r="D80" t="inlineStr">
        <is>
          <t>CORP</t>
        </is>
      </c>
      <c r="E80" t="inlineStr">
        <is>
          <t>Krippashankar Yadav</t>
        </is>
      </c>
      <c r="H80" s="2" t="n"/>
      <c r="J80" t="inlineStr">
        <is>
          <t>Compliant</t>
        </is>
      </c>
      <c r="K80" s="2" t="n"/>
    </row>
    <row r="81">
      <c r="A81">
        <f>IF(B81="","",ROW()-1)</f>
        <v/>
      </c>
      <c r="B81" t="inlineStr">
        <is>
          <t>Collaborator - HON Standard Instance 14.6 PROD</t>
        </is>
      </c>
      <c r="C81" t="inlineStr">
        <is>
          <t>ASN0003227</t>
        </is>
      </c>
      <c r="D81" t="inlineStr">
        <is>
          <t>CORP</t>
        </is>
      </c>
      <c r="E81" t="inlineStr">
        <is>
          <t>Krippashankar Yadav</t>
        </is>
      </c>
      <c r="F81" t="inlineStr">
        <is>
          <t>Biannually</t>
        </is>
      </c>
      <c r="H81" s="2" t="n"/>
      <c r="J81" t="inlineStr">
        <is>
          <t>Compliant</t>
        </is>
      </c>
      <c r="K81" s="2" t="n"/>
    </row>
    <row r="82">
      <c r="A82">
        <f>IF(B82="","",ROW()-1)</f>
        <v/>
      </c>
      <c r="B82" t="inlineStr">
        <is>
          <t>CLEAR CASE - AZ75 9.0.1.9 PROD</t>
        </is>
      </c>
      <c r="C82" t="inlineStr">
        <is>
          <t>ASN0003229</t>
        </is>
      </c>
      <c r="D82" t="inlineStr">
        <is>
          <t>PA</t>
        </is>
      </c>
      <c r="E82" t="inlineStr">
        <is>
          <t>Krippashankar Yadav</t>
        </is>
      </c>
      <c r="F82" t="inlineStr">
        <is>
          <t>Quarterly</t>
        </is>
      </c>
      <c r="H82" s="2" t="n"/>
      <c r="J82" t="inlineStr">
        <is>
          <t>Compliant</t>
        </is>
      </c>
      <c r="K82" s="2" t="n"/>
    </row>
    <row r="83">
      <c r="A83">
        <f>IF(B83="","",ROW()-1)</f>
        <v/>
      </c>
      <c r="B83" t="inlineStr">
        <is>
          <t>SD ELEMENTS AKS 2025.3.4 PROD CORP</t>
        </is>
      </c>
      <c r="C83" t="inlineStr">
        <is>
          <t>ASN0016519</t>
        </is>
      </c>
      <c r="D83" t="inlineStr">
        <is>
          <t>CORP</t>
        </is>
      </c>
      <c r="E83" t="inlineStr">
        <is>
          <t>Krippashankar Yadav</t>
        </is>
      </c>
      <c r="F83" t="inlineStr">
        <is>
          <t>Biannually</t>
        </is>
      </c>
      <c r="H83" s="2" t="n"/>
      <c r="J83" t="inlineStr">
        <is>
          <t>Non-Compliant</t>
        </is>
      </c>
      <c r="K83" s="2" t="n"/>
    </row>
    <row r="84">
      <c r="A84">
        <f>IF(B84="","",ROW()-1)</f>
        <v/>
      </c>
      <c r="B84" t="inlineStr">
        <is>
          <t>OCR SERVICES EASE 1.0 PROD</t>
        </is>
      </c>
      <c r="C84" t="inlineStr">
        <is>
          <t>ASN0000191</t>
        </is>
      </c>
      <c r="D84" t="inlineStr">
        <is>
          <t>CORP</t>
        </is>
      </c>
      <c r="E84" t="inlineStr">
        <is>
          <t>Komal</t>
        </is>
      </c>
      <c r="F84" t="inlineStr">
        <is>
          <t>Needs Review</t>
        </is>
      </c>
      <c r="H84" s="2" t="n"/>
      <c r="J84" t="inlineStr">
        <is>
          <t>Compliant</t>
        </is>
      </c>
      <c r="K84" s="2" t="n"/>
    </row>
    <row r="85">
      <c r="A85">
        <f>IF(B85="","",ROW()-1)</f>
        <v/>
      </c>
      <c r="B85" t="inlineStr">
        <is>
          <t>MICROSOFT BITLOCKER ADMINISTRATION AND MONITORING 8.1 PROD</t>
        </is>
      </c>
      <c r="C85" t="inlineStr">
        <is>
          <t>ASN0000342</t>
        </is>
      </c>
      <c r="D85" t="inlineStr">
        <is>
          <t>CORP</t>
        </is>
      </c>
      <c r="E85" t="inlineStr">
        <is>
          <t>Adele Vance</t>
        </is>
      </c>
      <c r="F85" t="inlineStr">
        <is>
          <t>Needs Review</t>
        </is>
      </c>
      <c r="H85" s="2" t="n"/>
      <c r="J85" t="inlineStr">
        <is>
          <t>Non-compliant</t>
        </is>
      </c>
      <c r="K85" s="2" t="n">
        <v>46267</v>
      </c>
    </row>
    <row r="86">
      <c r="A86">
        <f>IF(B86="","",ROW()-1)</f>
        <v/>
      </c>
      <c r="B86" t="inlineStr">
        <is>
          <t>Azure Information Protection Scanner 1.0.0 PROD</t>
        </is>
      </c>
      <c r="C86" t="inlineStr">
        <is>
          <t>ASN0000938</t>
        </is>
      </c>
      <c r="D86" t="inlineStr">
        <is>
          <t>CORP</t>
        </is>
      </c>
      <c r="E86" t="inlineStr">
        <is>
          <t>Marius Costea</t>
        </is>
      </c>
      <c r="F86" t="inlineStr">
        <is>
          <t>Quarterly</t>
        </is>
      </c>
      <c r="H86" s="2" t="n"/>
      <c r="J86" t="inlineStr">
        <is>
          <t>Non-Compliant</t>
        </is>
      </c>
      <c r="K86" s="2" t="n"/>
    </row>
    <row r="87">
      <c r="A87">
        <f>IF(B87="","",ROW()-1)</f>
        <v/>
      </c>
      <c r="B87" t="inlineStr">
        <is>
          <t>Stealthaudit(Stealthaudit) 9.0 PROD</t>
        </is>
      </c>
      <c r="C87" t="inlineStr">
        <is>
          <t>ASN0010237</t>
        </is>
      </c>
      <c r="D87" t="inlineStr">
        <is>
          <t>CORP</t>
        </is>
      </c>
      <c r="E87" t="inlineStr">
        <is>
          <t>Marius Costea</t>
        </is>
      </c>
      <c r="F87" t="inlineStr">
        <is>
          <t>Quarterly</t>
        </is>
      </c>
      <c r="H87" s="2" t="n"/>
      <c r="J87" t="inlineStr">
        <is>
          <t>Compliant</t>
        </is>
      </c>
      <c r="K87" s="2" t="n"/>
    </row>
    <row r="88">
      <c r="A88">
        <f>IF(B88="","",ROW()-1)</f>
        <v/>
      </c>
      <c r="B88" t="inlineStr">
        <is>
          <t>CORP Secure Media eXchange (SMX) 202.3 PROD CORP</t>
        </is>
      </c>
      <c r="C88" t="inlineStr">
        <is>
          <t>ASN0018889</t>
        </is>
      </c>
      <c r="D88" t="inlineStr">
        <is>
          <t>CORP</t>
        </is>
      </c>
      <c r="E88" t="inlineStr">
        <is>
          <t>Mircea Diaconu</t>
        </is>
      </c>
      <c r="H88" s="2" t="n"/>
      <c r="J88" t="inlineStr">
        <is>
          <t>Compliant</t>
        </is>
      </c>
      <c r="K88" s="2" t="n"/>
    </row>
    <row r="89">
      <c r="A89">
        <f>IF(B89="","",ROW()-1)</f>
        <v/>
      </c>
      <c r="B89" t="inlineStr">
        <is>
          <t>CORP Secure Remote Access 6.8 PROD CORP</t>
        </is>
      </c>
      <c r="C89" t="inlineStr">
        <is>
          <t>ASN0018891</t>
        </is>
      </c>
      <c r="D89" t="inlineStr">
        <is>
          <t>CORP</t>
        </is>
      </c>
      <c r="E89" t="inlineStr">
        <is>
          <t>Mircea Diaconu</t>
        </is>
      </c>
      <c r="H89" s="2" t="n"/>
      <c r="J89" t="inlineStr">
        <is>
          <t>Non-Compliant</t>
        </is>
      </c>
      <c r="K89" s="2" t="n"/>
    </row>
    <row r="90">
      <c r="A90">
        <f>IF(B90="","",ROW()-1)</f>
        <v/>
      </c>
      <c r="B90" t="inlineStr">
        <is>
          <t>SERIAL NUMBERING SYSTEM CT13 1.0 PROD BA</t>
        </is>
      </c>
      <c r="C90" t="inlineStr">
        <is>
          <t>ASN0000399</t>
        </is>
      </c>
      <c r="D90" t="inlineStr">
        <is>
          <t>BA</t>
        </is>
      </c>
      <c r="E90" t="inlineStr">
        <is>
          <t>Mircea Diaconu</t>
        </is>
      </c>
      <c r="H90" s="2" t="n"/>
      <c r="J90" t="inlineStr">
        <is>
          <t>Compliant</t>
        </is>
      </c>
      <c r="K90" s="2" t="n"/>
    </row>
    <row r="91">
      <c r="A91">
        <f>IF(B91="","",ROW()-1)</f>
        <v/>
      </c>
      <c r="B91" t="inlineStr">
        <is>
          <t>SIPLACE MX0H 3.3.0.3 PROD BA</t>
        </is>
      </c>
      <c r="C91" t="inlineStr">
        <is>
          <t>ASN0001412</t>
        </is>
      </c>
      <c r="D91" t="inlineStr">
        <is>
          <t>BA</t>
        </is>
      </c>
      <c r="E91" t="inlineStr">
        <is>
          <t>Mircea Diaconu</t>
        </is>
      </c>
      <c r="H91" s="2" t="n"/>
      <c r="J91" t="inlineStr">
        <is>
          <t>Compliant</t>
        </is>
      </c>
      <c r="K91" s="2" t="n"/>
    </row>
    <row r="92">
      <c r="A92">
        <f>IF(B92="","",ROW()-1)</f>
        <v/>
      </c>
      <c r="B92" t="inlineStr">
        <is>
          <t>SERIAL NUMBERING SYSTEM 1.0 PROD</t>
        </is>
      </c>
      <c r="C92" t="inlineStr">
        <is>
          <t>ASN0001588</t>
        </is>
      </c>
      <c r="D92" t="inlineStr">
        <is>
          <t>BA</t>
        </is>
      </c>
      <c r="E92" t="inlineStr">
        <is>
          <t>Mircea Diaconu</t>
        </is>
      </c>
      <c r="H92" s="2" t="n"/>
      <c r="J92" t="inlineStr">
        <is>
          <t>Compliant</t>
        </is>
      </c>
      <c r="K92" s="2" t="n"/>
    </row>
    <row r="93">
      <c r="A93">
        <f>IF(B93="","",ROW()-1)</f>
        <v/>
      </c>
      <c r="B93" t="inlineStr">
        <is>
          <t>TUFIN 14.2 PROD</t>
        </is>
      </c>
      <c r="C93" t="inlineStr">
        <is>
          <t>ASN0003079</t>
        </is>
      </c>
      <c r="D93" t="inlineStr">
        <is>
          <t>CORP</t>
        </is>
      </c>
      <c r="E93" t="inlineStr">
        <is>
          <t>Mukesh Saseendran</t>
        </is>
      </c>
      <c r="H93" s="2" t="n"/>
      <c r="J93" t="inlineStr">
        <is>
          <t>Compliant</t>
        </is>
      </c>
      <c r="K93" s="2" t="n"/>
    </row>
    <row r="94">
      <c r="A94">
        <f>IF(B94="","",ROW()-1)</f>
        <v/>
      </c>
      <c r="B94" t="inlineStr">
        <is>
          <t>OT &amp; IoT Security (Cyber Insights) NA PROD CORP</t>
        </is>
      </c>
      <c r="C94" t="inlineStr">
        <is>
          <t>ASN0014434</t>
        </is>
      </c>
      <c r="D94" t="inlineStr">
        <is>
          <t>CORP</t>
        </is>
      </c>
      <c r="E94" t="inlineStr">
        <is>
          <t>Mukesh Saseendran</t>
        </is>
      </c>
      <c r="H94" s="2" t="n"/>
      <c r="J94" t="inlineStr">
        <is>
          <t>Non-Compliant</t>
        </is>
      </c>
      <c r="K94" s="2" t="n"/>
    </row>
    <row r="95">
      <c r="A95">
        <f>IF(B95="","",ROW()-1)</f>
        <v/>
      </c>
      <c r="B95" t="inlineStr">
        <is>
          <t>Stacks Discovery 1.1 PROD PT</t>
        </is>
      </c>
      <c r="C95" t="inlineStr">
        <is>
          <t>ASN0017556</t>
        </is>
      </c>
      <c r="D95" t="inlineStr">
        <is>
          <t>PT</t>
        </is>
      </c>
      <c r="E95" t="inlineStr">
        <is>
          <t>Nathan Blackwell</t>
        </is>
      </c>
      <c r="H95" s="2" t="n"/>
      <c r="J95" t="inlineStr">
        <is>
          <t>Non-Compliant</t>
        </is>
      </c>
      <c r="K95" s="2" t="n"/>
    </row>
    <row r="96">
      <c r="A96">
        <f>IF(B96="","",ROW()-1)</f>
        <v/>
      </c>
      <c r="B96" t="inlineStr">
        <is>
          <t>SAP GTS (ETP) 7.5 PROD</t>
        </is>
      </c>
      <c r="C96" t="inlineStr">
        <is>
          <t>ASN0002442</t>
        </is>
      </c>
      <c r="D96" t="inlineStr">
        <is>
          <t>CORP</t>
        </is>
      </c>
      <c r="E96" t="inlineStr">
        <is>
          <t>Nitin Kulkarni</t>
        </is>
      </c>
      <c r="H96" s="2" t="n"/>
      <c r="J96" t="inlineStr">
        <is>
          <t>Compliant</t>
        </is>
      </c>
      <c r="K96" s="2" t="n"/>
    </row>
    <row r="97">
      <c r="A97">
        <f>IF(B97="","",ROW()-1)</f>
        <v/>
      </c>
      <c r="B97" t="inlineStr">
        <is>
          <t>ECHARGE - HBT_SPS 2007 PROD</t>
        </is>
      </c>
      <c r="C97" t="inlineStr">
        <is>
          <t>ASN0000666</t>
        </is>
      </c>
      <c r="D97" t="inlineStr">
        <is>
          <t>BA</t>
        </is>
      </c>
      <c r="E97" t="inlineStr">
        <is>
          <t>Prabhakar Mathiyazhagan</t>
        </is>
      </c>
      <c r="F97" t="inlineStr">
        <is>
          <t>Quarterly</t>
        </is>
      </c>
      <c r="H97" s="2" t="n"/>
      <c r="J97" t="inlineStr">
        <is>
          <t>Compliant</t>
        </is>
      </c>
      <c r="K97" s="2" t="inlineStr">
        <is>
          <t>2026-7-20</t>
        </is>
      </c>
    </row>
    <row r="98">
      <c r="A98">
        <f>IF(B98="","",ROW()-1)</f>
        <v/>
      </c>
      <c r="B98" t="inlineStr">
        <is>
          <t>IDENTITA - BRNO - CZE 4.0 PROD</t>
        </is>
      </c>
      <c r="C98" t="inlineStr">
        <is>
          <t>ASN0001005</t>
        </is>
      </c>
      <c r="D98" t="inlineStr">
        <is>
          <t>CORP</t>
        </is>
      </c>
      <c r="E98" t="inlineStr">
        <is>
          <t>Prabhakar Mathiyazhagan</t>
        </is>
      </c>
      <c r="F98" t="inlineStr">
        <is>
          <t>Annually</t>
        </is>
      </c>
      <c r="H98" s="2" t="n"/>
      <c r="J98" t="inlineStr">
        <is>
          <t>Compliant</t>
        </is>
      </c>
      <c r="K98" s="2" t="inlineStr">
        <is>
          <t>2026-7-22</t>
        </is>
      </c>
    </row>
    <row r="99">
      <c r="A99">
        <f>IF(B99="","",ROW()-1)</f>
        <v/>
      </c>
      <c r="B99" t="inlineStr">
        <is>
          <t>BODET KELIO - ALGERIA, MOROCCO &amp; TUNISIA 4.6.2 PROD</t>
        </is>
      </c>
      <c r="C99" t="inlineStr">
        <is>
          <t>ASN0002731</t>
        </is>
      </c>
      <c r="D99" t="inlineStr">
        <is>
          <t>CORP</t>
        </is>
      </c>
      <c r="E99" t="inlineStr">
        <is>
          <t>Prabhakar Mathiyazhagan</t>
        </is>
      </c>
      <c r="H99" s="2" t="n"/>
      <c r="J99" t="inlineStr">
        <is>
          <t>Compliant</t>
        </is>
      </c>
      <c r="K99" s="2" t="n"/>
    </row>
    <row r="100">
      <c r="A100">
        <f>IF(B100="","",ROW()-1)</f>
        <v/>
      </c>
      <c r="B100" t="inlineStr">
        <is>
          <t>NA PAYROLL - REVEAL REPORTING 8.3 PROD</t>
        </is>
      </c>
      <c r="C100" t="inlineStr">
        <is>
          <t>ASN0003272</t>
        </is>
      </c>
      <c r="D100" t="inlineStr">
        <is>
          <t>CORP</t>
        </is>
      </c>
      <c r="E100" t="inlineStr">
        <is>
          <t>Prabhakar Mathiyazhagan</t>
        </is>
      </c>
      <c r="H100" s="2" t="n"/>
      <c r="J100" t="inlineStr">
        <is>
          <t>Compliant</t>
        </is>
      </c>
      <c r="K100" s="2" t="n"/>
    </row>
    <row r="101">
      <c r="A101">
        <f>IF(B101="","",ROW()-1)</f>
        <v/>
      </c>
      <c r="B101" t="inlineStr">
        <is>
          <t>BODET KELIO 4.2 PROD PA</t>
        </is>
      </c>
      <c r="C101" t="inlineStr">
        <is>
          <t>ASN0014125</t>
        </is>
      </c>
      <c r="D101" t="inlineStr">
        <is>
          <t>PA</t>
        </is>
      </c>
      <c r="E101" t="inlineStr">
        <is>
          <t>Prabhakar Mathiyazhagan</t>
        </is>
      </c>
      <c r="H101" s="2" t="n"/>
      <c r="J101" t="inlineStr">
        <is>
          <t>Compliant</t>
        </is>
      </c>
      <c r="K101" s="2" t="n"/>
    </row>
    <row r="102">
      <c r="A102">
        <f>IF(B102="","",ROW()-1)</f>
        <v/>
      </c>
      <c r="B102" t="inlineStr">
        <is>
          <t>Corp LDAP Directory Service Prod 7.3.7 PROD</t>
        </is>
      </c>
      <c r="C102" t="inlineStr">
        <is>
          <t>ASN0000226</t>
        </is>
      </c>
      <c r="D102" t="inlineStr">
        <is>
          <t>CORP</t>
        </is>
      </c>
      <c r="E102" t="inlineStr">
        <is>
          <t>Samiksha</t>
        </is>
      </c>
      <c r="F102" t="inlineStr">
        <is>
          <t>Needs Review</t>
        </is>
      </c>
      <c r="H102" s="2" t="n"/>
      <c r="J102" t="inlineStr">
        <is>
          <t>Compliant</t>
        </is>
      </c>
      <c r="K102" s="2" t="n"/>
    </row>
    <row r="103">
      <c r="A103">
        <f>IF(B103="","",ROW()-1)</f>
        <v/>
      </c>
      <c r="B103" t="inlineStr">
        <is>
          <t>SSO FEDERATION SERVICE - Ping Admin - China 10.x PROD CORP</t>
        </is>
      </c>
      <c r="C103" t="inlineStr">
        <is>
          <t>ASN0014000</t>
        </is>
      </c>
      <c r="D103" t="inlineStr">
        <is>
          <t>CORP</t>
        </is>
      </c>
      <c r="E103" t="inlineStr">
        <is>
          <t>Prabhakaran Manoharan</t>
        </is>
      </c>
      <c r="F103" t="inlineStr">
        <is>
          <t>Biannually</t>
        </is>
      </c>
      <c r="H103" s="2" t="n"/>
      <c r="J103" t="inlineStr">
        <is>
          <t>Compliant</t>
        </is>
      </c>
      <c r="K103" s="2" t="n">
        <v>46248</v>
      </c>
    </row>
    <row r="104">
      <c r="A104">
        <f>IF(B104="","",ROW()-1)</f>
        <v/>
      </c>
      <c r="B104" t="inlineStr">
        <is>
          <t>SSO FEDERATION SERVICE - Ping Runtime - CHINA 10.x PROD CORP</t>
        </is>
      </c>
      <c r="C104" t="inlineStr">
        <is>
          <t>ASN0014024</t>
        </is>
      </c>
      <c r="D104" t="inlineStr">
        <is>
          <t>CORP</t>
        </is>
      </c>
      <c r="E104" t="inlineStr">
        <is>
          <t>Prabhakaran Manoharan</t>
        </is>
      </c>
      <c r="F104" t="inlineStr">
        <is>
          <t>Biannually</t>
        </is>
      </c>
      <c r="H104" s="2" t="n"/>
      <c r="J104" t="inlineStr">
        <is>
          <t>Compliant</t>
        </is>
      </c>
      <c r="K104" s="2" t="n">
        <v>46248</v>
      </c>
    </row>
    <row r="105">
      <c r="A105">
        <f>IF(B105="","",ROW()-1)</f>
        <v/>
      </c>
      <c r="B105" t="inlineStr">
        <is>
          <t>AME Part Number System  PROD</t>
        </is>
      </c>
      <c r="C105" t="inlineStr">
        <is>
          <t>ASN0009028</t>
        </is>
      </c>
      <c r="D105" t="inlineStr">
        <is>
          <t>IA</t>
        </is>
      </c>
      <c r="E105" t="inlineStr">
        <is>
          <t>Prasanna N Kulkarni</t>
        </is>
      </c>
      <c r="H105" s="2" t="n"/>
      <c r="J105" t="inlineStr">
        <is>
          <t>Compliant</t>
        </is>
      </c>
      <c r="K105" s="2" t="n"/>
    </row>
    <row r="106">
      <c r="A106">
        <f>IF(B106="","",ROW()-1)</f>
        <v/>
      </c>
      <c r="B106" t="inlineStr">
        <is>
          <t>SAP BI (BWP) 7.3 PROD</t>
        </is>
      </c>
      <c r="C106" t="inlineStr">
        <is>
          <t>ASN0000816</t>
        </is>
      </c>
      <c r="D106" t="inlineStr">
        <is>
          <t>BA</t>
        </is>
      </c>
      <c r="E106" t="inlineStr">
        <is>
          <t>Prashobh Puthucheri</t>
        </is>
      </c>
      <c r="F106" t="inlineStr">
        <is>
          <t>Annually</t>
        </is>
      </c>
      <c r="H106" s="2" t="n"/>
      <c r="J106" t="inlineStr">
        <is>
          <t>Compliant</t>
        </is>
      </c>
      <c r="K106" s="2" t="n"/>
    </row>
    <row r="107">
      <c r="A107">
        <f>IF(B107="","",ROW()-1)</f>
        <v/>
      </c>
      <c r="B107" t="inlineStr">
        <is>
          <t>SAP ANALYTICS 7.4 PROD PT</t>
        </is>
      </c>
      <c r="C107" t="inlineStr">
        <is>
          <t>ASN0001284</t>
        </is>
      </c>
      <c r="D107" t="inlineStr">
        <is>
          <t>PT</t>
        </is>
      </c>
      <c r="E107" t="inlineStr">
        <is>
          <t>Prashobh Puthucheri</t>
        </is>
      </c>
      <c r="F107" t="inlineStr">
        <is>
          <t>Annually</t>
        </is>
      </c>
      <c r="H107" s="2" t="n"/>
      <c r="J107" t="inlineStr">
        <is>
          <t>Compliant</t>
        </is>
      </c>
      <c r="K107" s="2" t="n"/>
    </row>
    <row r="108">
      <c r="A108">
        <f>IF(B108="","",ROW()-1)</f>
        <v/>
      </c>
      <c r="B108" t="inlineStr">
        <is>
          <t>SAP HANA ECC 6.0 PROD PT</t>
        </is>
      </c>
      <c r="C108" t="inlineStr">
        <is>
          <t>ASN0001444</t>
        </is>
      </c>
      <c r="D108" t="inlineStr">
        <is>
          <t>PT</t>
        </is>
      </c>
      <c r="E108" t="inlineStr">
        <is>
          <t>Prashobh Puthucheri</t>
        </is>
      </c>
      <c r="F108" t="inlineStr">
        <is>
          <t>Quarterly</t>
        </is>
      </c>
      <c r="H108" s="2" t="n"/>
      <c r="J108" t="inlineStr">
        <is>
          <t>Compliant</t>
        </is>
      </c>
      <c r="K108" s="2" t="n"/>
    </row>
    <row r="109">
      <c r="A109">
        <f>IF(B109="","",ROW()-1)</f>
        <v/>
      </c>
      <c r="B109" t="inlineStr">
        <is>
          <t>ENTERPRISE BO (ABP) 4.3 PROD</t>
        </is>
      </c>
      <c r="C109" t="inlineStr">
        <is>
          <t>ASN0001932</t>
        </is>
      </c>
      <c r="D109" t="inlineStr">
        <is>
          <t>CORP</t>
        </is>
      </c>
      <c r="E109" t="inlineStr">
        <is>
          <t>Prashobh Puthucheri</t>
        </is>
      </c>
      <c r="F109" t="inlineStr">
        <is>
          <t>Quarterly</t>
        </is>
      </c>
      <c r="H109" s="2" t="n"/>
      <c r="J109" t="inlineStr">
        <is>
          <t>Compliant</t>
        </is>
      </c>
      <c r="K109" s="2" t="n"/>
    </row>
    <row r="110">
      <c r="A110">
        <f>IF(B110="","",ROW()-1)</f>
        <v/>
      </c>
      <c r="B110" t="inlineStr">
        <is>
          <t>SAP HANA 1.0 PROD CORP</t>
        </is>
      </c>
      <c r="C110" t="inlineStr">
        <is>
          <t>ASN0002093</t>
        </is>
      </c>
      <c r="D110" t="inlineStr">
        <is>
          <t>CORP</t>
        </is>
      </c>
      <c r="E110" t="inlineStr">
        <is>
          <t>Prashobh Puthucheri</t>
        </is>
      </c>
      <c r="F110" t="inlineStr">
        <is>
          <t>Quarterly</t>
        </is>
      </c>
      <c r="H110" s="2" t="n"/>
      <c r="J110" t="inlineStr">
        <is>
          <t>Compliant</t>
        </is>
      </c>
      <c r="K110" s="2" t="n"/>
    </row>
    <row r="111">
      <c r="A111">
        <f>IF(B111="","",ROW()-1)</f>
        <v/>
      </c>
      <c r="B111" t="inlineStr">
        <is>
          <t>ENTERPRISE BODS 4.2 PROD CORP</t>
        </is>
      </c>
      <c r="C111" t="inlineStr">
        <is>
          <t>ASN0002341</t>
        </is>
      </c>
      <c r="D111" t="inlineStr">
        <is>
          <t>CORP</t>
        </is>
      </c>
      <c r="E111" t="inlineStr">
        <is>
          <t>Prashobh Puthucheri</t>
        </is>
      </c>
      <c r="F111" t="inlineStr">
        <is>
          <t>Quarterly</t>
        </is>
      </c>
      <c r="H111" s="2" t="n"/>
      <c r="J111" t="inlineStr">
        <is>
          <t>Compliant</t>
        </is>
      </c>
      <c r="K111" s="2" t="n"/>
    </row>
    <row r="112">
      <c r="A112">
        <f>IF(B112="","",ROW()-1)</f>
        <v/>
      </c>
      <c r="B112" t="inlineStr">
        <is>
          <t>Alteryx 2024.1 PROD</t>
        </is>
      </c>
      <c r="C112" t="inlineStr">
        <is>
          <t>ASN0002628</t>
        </is>
      </c>
      <c r="D112" t="inlineStr">
        <is>
          <t>CORP</t>
        </is>
      </c>
      <c r="E112" t="inlineStr">
        <is>
          <t>Prashobh Puthucheri</t>
        </is>
      </c>
      <c r="F112" t="inlineStr">
        <is>
          <t>Annually</t>
        </is>
      </c>
      <c r="H112" s="2" t="n"/>
      <c r="J112" t="inlineStr">
        <is>
          <t>Compliant</t>
        </is>
      </c>
      <c r="K112" s="2" t="n"/>
    </row>
    <row r="113">
      <c r="A113">
        <f>IF(B113="","",ROW()-1)</f>
        <v/>
      </c>
      <c r="B113" t="inlineStr">
        <is>
          <t>SAP ANALYTICS 7.31 PROD PT</t>
        </is>
      </c>
      <c r="C113" t="inlineStr">
        <is>
          <t>ASN0003113</t>
        </is>
      </c>
      <c r="D113" t="inlineStr">
        <is>
          <t>PT</t>
        </is>
      </c>
      <c r="E113" t="inlineStr">
        <is>
          <t>Prashobh Puthucheri</t>
        </is>
      </c>
      <c r="F113" t="inlineStr">
        <is>
          <t>Annually</t>
        </is>
      </c>
      <c r="H113" s="2" t="n"/>
      <c r="J113" t="inlineStr">
        <is>
          <t>Compliant</t>
        </is>
      </c>
      <c r="K113" s="2" t="n"/>
    </row>
    <row r="114">
      <c r="A114">
        <f>IF(B114="","",ROW()-1)</f>
        <v/>
      </c>
      <c r="B114" t="inlineStr">
        <is>
          <t>BW PREPROCESSOR 7.3 PROD</t>
        </is>
      </c>
      <c r="C114" t="inlineStr">
        <is>
          <t>ASN0003259</t>
        </is>
      </c>
      <c r="D114" t="inlineStr">
        <is>
          <t>CORP</t>
        </is>
      </c>
      <c r="E114" t="inlineStr">
        <is>
          <t>Prashobh Puthucheri</t>
        </is>
      </c>
      <c r="F114" t="inlineStr">
        <is>
          <t>Annually</t>
        </is>
      </c>
      <c r="H114" s="2" t="n"/>
      <c r="J114" t="inlineStr">
        <is>
          <t>Compliant</t>
        </is>
      </c>
      <c r="K114" s="2" t="n"/>
    </row>
    <row r="115">
      <c r="A115">
        <f>IF(B115="","",ROW()-1)</f>
        <v/>
      </c>
      <c r="B115" t="inlineStr">
        <is>
          <t>SAP SCM APO (CAP) PMT PROD</t>
        </is>
      </c>
      <c r="C115" t="inlineStr">
        <is>
          <t>ASN0000137</t>
        </is>
      </c>
      <c r="D115" t="inlineStr">
        <is>
          <t>PT</t>
        </is>
      </c>
      <c r="E115" t="inlineStr">
        <is>
          <t>Samiksha</t>
        </is>
      </c>
      <c r="F115" t="inlineStr">
        <is>
          <t>Monthly</t>
        </is>
      </c>
      <c r="H115" s="2" t="n"/>
      <c r="J115" t="inlineStr">
        <is>
          <t>Compliant</t>
        </is>
      </c>
      <c r="K115" s="2" t="n">
        <v>46253</v>
      </c>
    </row>
    <row r="116">
      <c r="A116">
        <f>IF(B116="","",ROW()-1)</f>
        <v/>
      </c>
      <c r="B116" t="inlineStr">
        <is>
          <t>BUSINESS FORECAST PRO TRAC 7 PROD</t>
        </is>
      </c>
      <c r="C116" t="inlineStr">
        <is>
          <t>ASN0000282</t>
        </is>
      </c>
      <c r="D116" t="inlineStr">
        <is>
          <t>IA</t>
        </is>
      </c>
      <c r="E116" t="inlineStr">
        <is>
          <t>Devi</t>
        </is>
      </c>
      <c r="F116" t="inlineStr">
        <is>
          <t>Needs Review</t>
        </is>
      </c>
      <c r="H116" s="2" t="n"/>
      <c r="J116" t="inlineStr">
        <is>
          <t>Compliant</t>
        </is>
      </c>
      <c r="K116" s="2" t="n"/>
    </row>
    <row r="117">
      <c r="A117">
        <f>IF(B117="","",ROW()-1)</f>
        <v/>
      </c>
      <c r="B117" t="inlineStr">
        <is>
          <t>SAP SCM APO  (BAP) HBT/SPS PROD</t>
        </is>
      </c>
      <c r="C117" t="inlineStr">
        <is>
          <t>ASN0000453</t>
        </is>
      </c>
      <c r="D117" t="inlineStr">
        <is>
          <t>IA</t>
        </is>
      </c>
      <c r="E117" t="inlineStr">
        <is>
          <t>Purnachander Bekkanti</t>
        </is>
      </c>
      <c r="F117" t="inlineStr">
        <is>
          <t>Quarterly</t>
        </is>
      </c>
      <c r="H117" s="2" t="n"/>
      <c r="J117" t="inlineStr">
        <is>
          <t>Compliant</t>
        </is>
      </c>
      <c r="K117" s="2" t="n"/>
    </row>
    <row r="118">
      <c r="A118">
        <f>IF(B118="","",ROW()-1)</f>
        <v/>
      </c>
      <c r="B118" t="inlineStr">
        <is>
          <t>Multi-factor Authentication SafeNet SaaS PROD CORP</t>
        </is>
      </c>
      <c r="C118" t="inlineStr">
        <is>
          <t>ASN0002744</t>
        </is>
      </c>
      <c r="D118" t="inlineStr">
        <is>
          <t>CORP</t>
        </is>
      </c>
      <c r="E118" t="inlineStr">
        <is>
          <t>Qamar Peer Bellary Sadiq</t>
        </is>
      </c>
      <c r="F118" t="inlineStr">
        <is>
          <t>Biannually</t>
        </is>
      </c>
      <c r="H118" s="2" t="n"/>
      <c r="J118" t="inlineStr">
        <is>
          <t>Compliant</t>
        </is>
      </c>
      <c r="K118" s="2" t="n">
        <v>46217</v>
      </c>
    </row>
    <row r="119">
      <c r="A119">
        <f>IF(B119="","",ROW()-1)</f>
        <v/>
      </c>
      <c r="B119" t="inlineStr">
        <is>
          <t>Certificate Lifecycle Management Prod</t>
        </is>
      </c>
      <c r="C119" t="inlineStr">
        <is>
          <t>ASN0013242</t>
        </is>
      </c>
      <c r="D119" t="inlineStr">
        <is>
          <t>CORP</t>
        </is>
      </c>
      <c r="E119" t="inlineStr">
        <is>
          <t>Qamar Peer Bellary Sadiq</t>
        </is>
      </c>
      <c r="F119" t="inlineStr">
        <is>
          <t>Biannually</t>
        </is>
      </c>
      <c r="H119" s="2" t="n"/>
      <c r="J119" t="inlineStr">
        <is>
          <t>Compliant</t>
        </is>
      </c>
      <c r="K119" s="2" t="n"/>
    </row>
    <row r="120">
      <c r="A120">
        <f>IF(B120="","",ROW()-1)</f>
        <v/>
      </c>
      <c r="B120" t="inlineStr">
        <is>
          <t>HCE CUSTOMER OPS L&amp;M 1.0 PROD</t>
        </is>
      </c>
      <c r="C120" t="inlineStr">
        <is>
          <t>ASN0001103</t>
        </is>
      </c>
      <c r="D120" t="inlineStr">
        <is>
          <t>CORP</t>
        </is>
      </c>
      <c r="E120" t="inlineStr">
        <is>
          <t>Rajasekhar Gundu</t>
        </is>
      </c>
      <c r="H120" s="2" t="n"/>
      <c r="J120" t="inlineStr">
        <is>
          <t>Non-Compliant</t>
        </is>
      </c>
      <c r="K120" s="2" t="n"/>
    </row>
    <row r="121">
      <c r="A121">
        <f>IF(B121="","",ROW()-1)</f>
        <v/>
      </c>
      <c r="B121" t="inlineStr">
        <is>
          <t>Rockwell FIIX  SaaS  V6 PROD - BA and IA</t>
        </is>
      </c>
      <c r="C121" t="inlineStr">
        <is>
          <t>ASN0001060</t>
        </is>
      </c>
      <c r="D121" t="inlineStr">
        <is>
          <t>CORP</t>
        </is>
      </c>
      <c r="E121" t="inlineStr">
        <is>
          <t>Rajesh Keer</t>
        </is>
      </c>
      <c r="F121" t="inlineStr">
        <is>
          <t>Quarterly</t>
        </is>
      </c>
      <c r="H121" s="2" t="n"/>
      <c r="J121" t="inlineStr">
        <is>
          <t>Compliant</t>
        </is>
      </c>
      <c r="K121" s="2" t="n"/>
    </row>
    <row r="122">
      <c r="A122">
        <f>IF(B122="","",ROW()-1)</f>
        <v/>
      </c>
      <c r="B122" t="inlineStr">
        <is>
          <t>MERIDIUM 5.2 PROD</t>
        </is>
      </c>
      <c r="C122" t="inlineStr">
        <is>
          <t>ASN0003089</t>
        </is>
      </c>
      <c r="D122" t="inlineStr">
        <is>
          <t>PT</t>
        </is>
      </c>
      <c r="E122" t="inlineStr">
        <is>
          <t>Rajesh Keer</t>
        </is>
      </c>
      <c r="F122" t="inlineStr">
        <is>
          <t>Quarterly</t>
        </is>
      </c>
      <c r="H122" s="2" t="n"/>
      <c r="J122" t="inlineStr">
        <is>
          <t>Compliant</t>
        </is>
      </c>
      <c r="K122" s="2" t="n"/>
    </row>
    <row r="123">
      <c r="A123">
        <f>IF(B123="","",ROW()-1)</f>
        <v/>
      </c>
      <c r="B123" t="inlineStr">
        <is>
          <t>EXPERT SYSTEMS 1.0 PROD PT</t>
        </is>
      </c>
      <c r="C123" t="inlineStr">
        <is>
          <t>ASN0002730</t>
        </is>
      </c>
      <c r="D123" t="inlineStr">
        <is>
          <t>PT</t>
        </is>
      </c>
      <c r="E123" t="inlineStr">
        <is>
          <t>Ramsantosh Ch</t>
        </is>
      </c>
      <c r="F123" t="inlineStr">
        <is>
          <t>Annually</t>
        </is>
      </c>
      <c r="H123" s="2" t="n"/>
      <c r="J123" t="inlineStr">
        <is>
          <t>Compliant</t>
        </is>
      </c>
      <c r="K123" s="2" t="n"/>
    </row>
    <row r="124">
      <c r="A124">
        <f>IF(B124="","",ROW()-1)</f>
        <v/>
      </c>
      <c r="B124" t="inlineStr">
        <is>
          <t>MOVEIT 15.1.6.51 PROD CORP</t>
        </is>
      </c>
      <c r="C124" t="inlineStr">
        <is>
          <t>ASN0000833</t>
        </is>
      </c>
      <c r="D124" t="inlineStr">
        <is>
          <t>CORP</t>
        </is>
      </c>
      <c r="E124" t="inlineStr">
        <is>
          <t>Ranjini P</t>
        </is>
      </c>
      <c r="F124" t="inlineStr">
        <is>
          <t>Quarterly</t>
        </is>
      </c>
      <c r="H124" s="2" t="n"/>
      <c r="J124" t="inlineStr">
        <is>
          <t>Compliant</t>
        </is>
      </c>
      <c r="K124" s="2" t="n"/>
    </row>
    <row r="125">
      <c r="A125">
        <f>IF(B125="","",ROW()-1)</f>
        <v/>
      </c>
      <c r="B125" t="inlineStr">
        <is>
          <t>SAP PO 7.5 (BIP) PROD</t>
        </is>
      </c>
      <c r="C125" t="inlineStr">
        <is>
          <t>ASN0001420</t>
        </is>
      </c>
      <c r="D125" t="inlineStr">
        <is>
          <t>CORP</t>
        </is>
      </c>
      <c r="E125" t="inlineStr">
        <is>
          <t>Ranjini P</t>
        </is>
      </c>
      <c r="H125" s="2" t="n"/>
      <c r="J125" t="inlineStr">
        <is>
          <t>Non-Compliant</t>
        </is>
      </c>
      <c r="K125" s="2" t="n"/>
    </row>
    <row r="126">
      <c r="A126">
        <f>IF(B126="","",ROW()-1)</f>
        <v/>
      </c>
      <c r="B126" t="inlineStr">
        <is>
          <t>ACCELLION 8.3.0 PROD</t>
        </is>
      </c>
      <c r="C126" t="inlineStr">
        <is>
          <t>ASN0002360</t>
        </is>
      </c>
      <c r="D126" t="inlineStr">
        <is>
          <t>CORP</t>
        </is>
      </c>
      <c r="E126" t="inlineStr">
        <is>
          <t>Ranjini P</t>
        </is>
      </c>
      <c r="F126" t="inlineStr">
        <is>
          <t>Quarterly</t>
        </is>
      </c>
      <c r="H126" s="2" t="n"/>
      <c r="J126" t="inlineStr">
        <is>
          <t>Compliant</t>
        </is>
      </c>
      <c r="K126" s="2" t="n"/>
    </row>
    <row r="127">
      <c r="A127">
        <f>IF(B127="","",ROW()-1)</f>
        <v/>
      </c>
      <c r="B127" t="inlineStr">
        <is>
          <t>DOCUMENTUM XPLAN 25.4 PROD</t>
        </is>
      </c>
      <c r="C127" t="inlineStr">
        <is>
          <t>ASN0002741</t>
        </is>
      </c>
      <c r="D127" t="inlineStr">
        <is>
          <t>CORP</t>
        </is>
      </c>
      <c r="E127" t="inlineStr">
        <is>
          <t>Ranjini P</t>
        </is>
      </c>
      <c r="F127" t="inlineStr">
        <is>
          <t>Quarterly</t>
        </is>
      </c>
      <c r="H127" s="2" t="n"/>
      <c r="J127" t="inlineStr">
        <is>
          <t>Compliant</t>
        </is>
      </c>
      <c r="K127" s="2" t="n"/>
    </row>
    <row r="128">
      <c r="A128">
        <f>IF(B128="","",ROW()-1)</f>
        <v/>
      </c>
      <c r="B128" t="inlineStr">
        <is>
          <t>SAP GRC 12.0 PROD</t>
        </is>
      </c>
      <c r="C128" t="inlineStr">
        <is>
          <t>ASN0001981</t>
        </is>
      </c>
      <c r="D128" t="inlineStr">
        <is>
          <t>CORP</t>
        </is>
      </c>
      <c r="E128" t="inlineStr">
        <is>
          <t>Rashmi Garg</t>
        </is>
      </c>
      <c r="F128" t="inlineStr">
        <is>
          <t>Monthly</t>
        </is>
      </c>
      <c r="H128" s="2" t="n"/>
      <c r="J128" t="inlineStr">
        <is>
          <t>Compliant</t>
        </is>
      </c>
      <c r="K128" s="2" t="n"/>
    </row>
    <row r="129">
      <c r="A129">
        <f>IF(B129="","",ROW()-1)</f>
        <v/>
      </c>
      <c r="B129" t="inlineStr">
        <is>
          <t>Microsiga PROD</t>
        </is>
      </c>
      <c r="C129" t="inlineStr">
        <is>
          <t>ASN0001080</t>
        </is>
      </c>
      <c r="D129" t="inlineStr">
        <is>
          <t>CORP</t>
        </is>
      </c>
      <c r="E129" t="inlineStr">
        <is>
          <t>Rodrigo Lanseros</t>
        </is>
      </c>
      <c r="F129" t="inlineStr">
        <is>
          <t>Monthly</t>
        </is>
      </c>
      <c r="H129" s="2" t="n"/>
      <c r="J129" t="inlineStr">
        <is>
          <t>Compliant</t>
        </is>
      </c>
      <c r="K129" s="2" t="n"/>
    </row>
    <row r="130">
      <c r="A130">
        <f>IF(B130="","",ROW()-1)</f>
        <v/>
      </c>
      <c r="B130" t="inlineStr">
        <is>
          <t>DRIMCO DRIM HPS R11 PROD CORP</t>
        </is>
      </c>
      <c r="C130" t="inlineStr">
        <is>
          <t>ASN0019652</t>
        </is>
      </c>
      <c r="D130" t="inlineStr">
        <is>
          <t>CORP</t>
        </is>
      </c>
      <c r="E130" t="inlineStr">
        <is>
          <t>Roshan Mathew</t>
        </is>
      </c>
      <c r="H130" s="2" t="n"/>
      <c r="J130" t="inlineStr">
        <is>
          <t>Compliant</t>
        </is>
      </c>
      <c r="K130" s="2" t="n"/>
    </row>
    <row r="131">
      <c r="A131">
        <f>IF(B131="","",ROW()-1)</f>
        <v/>
      </c>
      <c r="B131" t="inlineStr">
        <is>
          <t>DRIMCO DRIM HBS R11 PROD CORP</t>
        </is>
      </c>
      <c r="C131" t="inlineStr">
        <is>
          <t>ASN0019654</t>
        </is>
      </c>
      <c r="D131" t="inlineStr">
        <is>
          <t>CORP</t>
        </is>
      </c>
      <c r="E131" t="inlineStr">
        <is>
          <t>Roshan Mathew</t>
        </is>
      </c>
      <c r="H131" s="2" t="n"/>
      <c r="J131" t="inlineStr">
        <is>
          <t>Compliant</t>
        </is>
      </c>
      <c r="K131" s="2" t="n"/>
    </row>
    <row r="132">
      <c r="A132">
        <f>IF(B132="","",ROW()-1)</f>
        <v/>
      </c>
      <c r="B132" t="inlineStr">
        <is>
          <t>SIEMENS POLARION HPS 2410 PROD CORP</t>
        </is>
      </c>
      <c r="C132" t="inlineStr">
        <is>
          <t>ASN0019656</t>
        </is>
      </c>
      <c r="D132" t="inlineStr">
        <is>
          <t>CORP</t>
        </is>
      </c>
      <c r="E132" t="inlineStr">
        <is>
          <t>Roshan Mathew</t>
        </is>
      </c>
      <c r="H132" s="2" t="n"/>
      <c r="J132" t="inlineStr">
        <is>
          <t>Compliant</t>
        </is>
      </c>
      <c r="K132" s="2" t="n"/>
    </row>
    <row r="133">
      <c r="A133">
        <f>IF(B133="","",ROW()-1)</f>
        <v/>
      </c>
      <c r="B133" t="inlineStr">
        <is>
          <t>SIEMENS POLARION IGS 2410 PROD CORP</t>
        </is>
      </c>
      <c r="C133" t="inlineStr">
        <is>
          <t>ASN0019658</t>
        </is>
      </c>
      <c r="D133" t="inlineStr">
        <is>
          <t>CORP</t>
        </is>
      </c>
      <c r="E133" t="inlineStr">
        <is>
          <t>Roshan Mathew</t>
        </is>
      </c>
      <c r="H133" s="2" t="n"/>
      <c r="J133" t="inlineStr">
        <is>
          <t>Compliant</t>
        </is>
      </c>
      <c r="K133" s="2" t="n"/>
    </row>
    <row r="134">
      <c r="A134">
        <f>IF(B134="","",ROW()-1)</f>
        <v/>
      </c>
      <c r="B134" t="inlineStr">
        <is>
          <t>DRIMCO DRIM UOP R11 PROD CORP</t>
        </is>
      </c>
      <c r="C134" t="inlineStr">
        <is>
          <t>ASN0019660</t>
        </is>
      </c>
      <c r="D134" t="inlineStr">
        <is>
          <t>CORP</t>
        </is>
      </c>
      <c r="E134" t="inlineStr">
        <is>
          <t>Roshan Mathew</t>
        </is>
      </c>
      <c r="H134" s="2" t="n"/>
      <c r="J134" t="inlineStr">
        <is>
          <t>Compliant</t>
        </is>
      </c>
      <c r="K134" s="2" t="n"/>
    </row>
    <row r="135">
      <c r="A135">
        <f>IF(B135="","",ROW()-1)</f>
        <v/>
      </c>
      <c r="B135" t="inlineStr">
        <is>
          <t>SIEMENS POLARION HBS 2410 PROD CORP</t>
        </is>
      </c>
      <c r="C135" t="inlineStr">
        <is>
          <t>ASN0019662</t>
        </is>
      </c>
      <c r="D135" t="inlineStr">
        <is>
          <t>CORP</t>
        </is>
      </c>
      <c r="E135" t="inlineStr">
        <is>
          <t>Roshan Mathew</t>
        </is>
      </c>
      <c r="H135" s="2" t="n"/>
      <c r="J135" t="inlineStr">
        <is>
          <t>Compliant</t>
        </is>
      </c>
      <c r="K135" s="2" t="n"/>
    </row>
    <row r="136">
      <c r="A136">
        <f>IF(B136="","",ROW()-1)</f>
        <v/>
      </c>
      <c r="B136" t="inlineStr">
        <is>
          <t>SIEMENS POLARION UOP 2410 PROD CORP</t>
        </is>
      </c>
      <c r="C136" t="inlineStr">
        <is>
          <t>ASN0019664</t>
        </is>
      </c>
      <c r="D136" t="inlineStr">
        <is>
          <t>CORP</t>
        </is>
      </c>
      <c r="E136" t="inlineStr">
        <is>
          <t>Roshan Mathew</t>
        </is>
      </c>
      <c r="H136" s="2" t="n"/>
      <c r="J136" t="inlineStr">
        <is>
          <t>Compliant</t>
        </is>
      </c>
      <c r="K136" s="2" t="n"/>
    </row>
    <row r="137">
      <c r="A137">
        <f>IF(B137="","",ROW()-1)</f>
        <v/>
      </c>
      <c r="B137" t="inlineStr">
        <is>
          <t>DRIMCO DRIM IGS R11 PROD CORP</t>
        </is>
      </c>
      <c r="C137" t="inlineStr">
        <is>
          <t>ASN0019666</t>
        </is>
      </c>
      <c r="D137" t="inlineStr">
        <is>
          <t>CORP</t>
        </is>
      </c>
      <c r="E137" t="inlineStr">
        <is>
          <t>Roshan Mathew</t>
        </is>
      </c>
      <c r="H137" s="2" t="n"/>
      <c r="J137" t="inlineStr">
        <is>
          <t>Compliant</t>
        </is>
      </c>
      <c r="K137" s="2" t="n"/>
    </row>
    <row r="138">
      <c r="A138">
        <f>IF(B138="","",ROW()-1)</f>
        <v/>
      </c>
      <c r="B138" t="inlineStr">
        <is>
          <t>SAGE CRM SALESLOGIX 7.5.1 PROD PA</t>
        </is>
      </c>
      <c r="C138" t="inlineStr">
        <is>
          <t>ASN0001688</t>
        </is>
      </c>
      <c r="D138" t="inlineStr">
        <is>
          <t>PA</t>
        </is>
      </c>
      <c r="E138" t="inlineStr">
        <is>
          <t>Rupa Mahasamudram</t>
        </is>
      </c>
      <c r="H138" s="2" t="n"/>
      <c r="J138" t="inlineStr">
        <is>
          <t>Compliant</t>
        </is>
      </c>
      <c r="K138" s="2" t="n">
        <v>46262</v>
      </c>
    </row>
    <row r="139">
      <c r="A139">
        <f>IF(B139="","",ROW()-1)</f>
        <v/>
      </c>
      <c r="B139" t="inlineStr">
        <is>
          <t>ENTERPRISE BUILDING INTEGRATOR (EBI) 1.0 PROD</t>
        </is>
      </c>
      <c r="C139" t="inlineStr">
        <is>
          <t>ASN0000710</t>
        </is>
      </c>
      <c r="D139" t="inlineStr">
        <is>
          <t>CORP</t>
        </is>
      </c>
      <c r="E139" t="inlineStr">
        <is>
          <t>Sanju Puttaswamy</t>
        </is>
      </c>
      <c r="H139" s="2" t="n"/>
      <c r="J139" t="inlineStr">
        <is>
          <t>Compliant</t>
        </is>
      </c>
      <c r="K139" s="2" t="n"/>
    </row>
    <row r="140">
      <c r="A140">
        <f>IF(B140="","",ROW()-1)</f>
        <v/>
      </c>
      <c r="B140" t="inlineStr">
        <is>
          <t>Signify Lighting Management 1.0 PROD CORP</t>
        </is>
      </c>
      <c r="C140" t="inlineStr">
        <is>
          <t>ASN0007842</t>
        </is>
      </c>
      <c r="D140" t="inlineStr">
        <is>
          <t>CORP</t>
        </is>
      </c>
      <c r="E140" t="inlineStr">
        <is>
          <t>Sanju Puttaswamy</t>
        </is>
      </c>
      <c r="H140" s="2" t="n"/>
      <c r="J140" t="inlineStr">
        <is>
          <t>Compliant</t>
        </is>
      </c>
      <c r="K140" s="2" t="n"/>
    </row>
    <row r="141">
      <c r="A141">
        <f>IF(B141="","",ROW()-1)</f>
        <v/>
      </c>
      <c r="B141" t="inlineStr">
        <is>
          <t>SBI Badge and Canteen system 5.6 PROD PMT</t>
        </is>
      </c>
      <c r="C141" t="inlineStr">
        <is>
          <t>ASN0008219</t>
        </is>
      </c>
      <c r="D141" t="inlineStr">
        <is>
          <t>PT</t>
        </is>
      </c>
      <c r="E141" t="inlineStr">
        <is>
          <t>Sanju Puttaswamy</t>
        </is>
      </c>
      <c r="H141" s="2" t="n"/>
      <c r="J141" t="inlineStr">
        <is>
          <t>Non-Compliant</t>
        </is>
      </c>
      <c r="K141" s="2" t="n"/>
    </row>
    <row r="142">
      <c r="A142">
        <f>IF(B142="","",ROW()-1)</f>
        <v/>
      </c>
      <c r="B142" t="inlineStr">
        <is>
          <t>SAP WEB CHANNEL release 750 SP 3 PROD</t>
        </is>
      </c>
      <c r="C142" t="inlineStr">
        <is>
          <t>ASN0007150</t>
        </is>
      </c>
      <c r="D142" t="inlineStr">
        <is>
          <t>IA</t>
        </is>
      </c>
      <c r="E142" t="inlineStr">
        <is>
          <t>Sateesh Chandala</t>
        </is>
      </c>
      <c r="H142" s="2" t="n"/>
      <c r="J142" t="inlineStr">
        <is>
          <t>Compliant</t>
        </is>
      </c>
      <c r="K142" s="2" t="n"/>
    </row>
    <row r="143">
      <c r="A143">
        <f>IF(B143="","",ROW()-1)</f>
        <v/>
      </c>
      <c r="B143" t="inlineStr">
        <is>
          <t>KROMSCHROEDER ECOMMERCE SAP NW 7.4 portal with SAP eComm Applica PROD IA</t>
        </is>
      </c>
      <c r="C143" t="inlineStr">
        <is>
          <t>ASN0013332</t>
        </is>
      </c>
      <c r="D143" t="inlineStr">
        <is>
          <t>IA</t>
        </is>
      </c>
      <c r="E143" t="inlineStr">
        <is>
          <t>Sateesh Chandala</t>
        </is>
      </c>
      <c r="H143" s="2" t="n"/>
      <c r="J143" t="inlineStr">
        <is>
          <t>Non-Compliant</t>
        </is>
      </c>
      <c r="K143" s="2" t="n"/>
    </row>
    <row r="144">
      <c r="A144">
        <f>IF(B144="","",ROW()-1)</f>
        <v/>
      </c>
      <c r="B144" t="inlineStr">
        <is>
          <t>ACCOLADE SOPHEON 17.2 PROD CORP</t>
        </is>
      </c>
      <c r="C144" t="inlineStr">
        <is>
          <t>ASN0002181</t>
        </is>
      </c>
      <c r="D144" t="inlineStr">
        <is>
          <t>CORP</t>
        </is>
      </c>
      <c r="E144" t="inlineStr">
        <is>
          <t>Seema Dhawan</t>
        </is>
      </c>
      <c r="F144" t="inlineStr">
        <is>
          <t>Quarterly</t>
        </is>
      </c>
      <c r="H144" s="2" t="n"/>
      <c r="J144" t="inlineStr">
        <is>
          <t>Compliant</t>
        </is>
      </c>
      <c r="K144" s="2" t="n"/>
    </row>
    <row r="145">
      <c r="A145">
        <f>IF(B145="","",ROW()-1)</f>
        <v/>
      </c>
      <c r="B145" t="inlineStr">
        <is>
          <t>PRIMAVERA 23.12 PROD IA</t>
        </is>
      </c>
      <c r="C145" t="inlineStr">
        <is>
          <t>ASN0003254</t>
        </is>
      </c>
      <c r="D145" t="inlineStr">
        <is>
          <t>IA</t>
        </is>
      </c>
      <c r="E145" t="inlineStr">
        <is>
          <t>Shankar Sengamalan</t>
        </is>
      </c>
      <c r="F145" t="inlineStr">
        <is>
          <t>Quarterly</t>
        </is>
      </c>
      <c r="H145" s="2" t="n"/>
      <c r="J145" t="inlineStr">
        <is>
          <t>Non-Compliant</t>
        </is>
      </c>
      <c r="K145" s="2" t="inlineStr">
        <is>
          <t>2026-7-30</t>
        </is>
      </c>
    </row>
    <row r="146">
      <c r="A146">
        <f>IF(B146="","",ROW()-1)</f>
        <v/>
      </c>
      <c r="B146" t="inlineStr">
        <is>
          <t>PRIMAVERA 23.12 PROD PT</t>
        </is>
      </c>
      <c r="C146" t="inlineStr">
        <is>
          <t>ASN0019720</t>
        </is>
      </c>
      <c r="D146" t="inlineStr">
        <is>
          <t>PT</t>
        </is>
      </c>
      <c r="E146" t="inlineStr">
        <is>
          <t>Shankar Sengamalan</t>
        </is>
      </c>
      <c r="F146" t="inlineStr">
        <is>
          <t>Quarterly</t>
        </is>
      </c>
      <c r="H146" s="2" t="n"/>
      <c r="J146" t="inlineStr">
        <is>
          <t>Compliant</t>
        </is>
      </c>
      <c r="K146" s="2" t="inlineStr">
        <is>
          <t>2026-7-14</t>
        </is>
      </c>
    </row>
    <row r="147">
      <c r="A147">
        <f>IF(B147="","",ROW()-1)</f>
        <v/>
      </c>
      <c r="B147" t="inlineStr">
        <is>
          <t>CH3U FLUX WMS 6.1.0 PROD</t>
        </is>
      </c>
      <c r="C147" t="inlineStr">
        <is>
          <t>ASN0002398</t>
        </is>
      </c>
      <c r="D147" t="inlineStr">
        <is>
          <t>IA</t>
        </is>
      </c>
      <c r="E147" t="inlineStr">
        <is>
          <t>Sheetu Luthra</t>
        </is>
      </c>
      <c r="H147" s="2" t="n"/>
      <c r="J147" t="inlineStr">
        <is>
          <t>Compliant</t>
        </is>
      </c>
      <c r="K147" s="2" t="n"/>
    </row>
    <row r="148">
      <c r="A148">
        <f>IF(B148="","",ROW()-1)</f>
        <v/>
      </c>
      <c r="B148" t="inlineStr">
        <is>
          <t>GE4U Elastic Search Lotte</t>
        </is>
      </c>
      <c r="C148" t="inlineStr">
        <is>
          <t>ASN0007976</t>
        </is>
      </c>
      <c r="D148" t="inlineStr">
        <is>
          <t>IA</t>
        </is>
      </c>
      <c r="E148" t="inlineStr">
        <is>
          <t>Sheetu Luthra</t>
        </is>
      </c>
      <c r="H148" s="2" t="n"/>
      <c r="J148" t="inlineStr">
        <is>
          <t>Compliant</t>
        </is>
      </c>
      <c r="K148" s="2" t="n"/>
    </row>
    <row r="149">
      <c r="A149">
        <f>IF(B149="","",ROW()-1)</f>
        <v/>
      </c>
      <c r="B149" t="inlineStr">
        <is>
          <t>PRANALI LOGISTICS 1.2.1 PROD IA</t>
        </is>
      </c>
      <c r="C149" t="inlineStr">
        <is>
          <t>ASN0008632</t>
        </is>
      </c>
      <c r="D149" t="inlineStr">
        <is>
          <t>IA</t>
        </is>
      </c>
      <c r="E149" t="inlineStr">
        <is>
          <t>Sheetu Luthra</t>
        </is>
      </c>
      <c r="H149" s="2" t="n"/>
      <c r="J149" t="inlineStr">
        <is>
          <t>Compliant</t>
        </is>
      </c>
      <c r="K149" s="2" t="n"/>
    </row>
    <row r="150">
      <c r="A150">
        <f>IF(B150="","",ROW()-1)</f>
        <v/>
      </c>
      <c r="B150" t="inlineStr">
        <is>
          <t>Google Zero Touch V1 V1 QA IA</t>
        </is>
      </c>
      <c r="C150" t="inlineStr">
        <is>
          <t>ASN0016401</t>
        </is>
      </c>
      <c r="D150" t="inlineStr">
        <is>
          <t>IA</t>
        </is>
      </c>
      <c r="E150" t="inlineStr">
        <is>
          <t>Sheetu Luthra</t>
        </is>
      </c>
      <c r="H150" s="2" t="n"/>
      <c r="J150" t="inlineStr">
        <is>
          <t>Compliant</t>
        </is>
      </c>
      <c r="K150" s="2" t="n"/>
    </row>
    <row r="151">
      <c r="A151">
        <f>IF(B151="","",ROW()-1)</f>
        <v/>
      </c>
      <c r="B151" t="inlineStr">
        <is>
          <t>RPA - AUTOMATION ANYWHERE A360 PROD CORP</t>
        </is>
      </c>
      <c r="C151" t="inlineStr">
        <is>
          <t>ASN0012525</t>
        </is>
      </c>
      <c r="D151" t="inlineStr">
        <is>
          <t>CORP</t>
        </is>
      </c>
      <c r="E151" t="inlineStr">
        <is>
          <t>Shilpa P R</t>
        </is>
      </c>
      <c r="F151" t="inlineStr">
        <is>
          <t>Annually</t>
        </is>
      </c>
      <c r="H151" s="2" t="n"/>
      <c r="J151" t="inlineStr">
        <is>
          <t>Compliant</t>
        </is>
      </c>
      <c r="K151" s="2" t="n"/>
    </row>
    <row r="152">
      <c r="A152">
        <f>IF(B152="","",ROW()-1)</f>
        <v/>
      </c>
      <c r="B152" t="inlineStr">
        <is>
          <t>LABVANTAGE- LIMS 8.7.2 PROD PT</t>
        </is>
      </c>
      <c r="C152" t="inlineStr">
        <is>
          <t>ASN0000296</t>
        </is>
      </c>
      <c r="D152" t="inlineStr">
        <is>
          <t>PT</t>
        </is>
      </c>
      <c r="E152" t="inlineStr">
        <is>
          <t>Abhisek</t>
        </is>
      </c>
      <c r="F152" t="inlineStr">
        <is>
          <t>Needs Review</t>
        </is>
      </c>
      <c r="H152" s="2" t="n"/>
      <c r="J152" t="inlineStr">
        <is>
          <t>Compliant</t>
        </is>
      </c>
      <c r="K152" s="2" t="inlineStr">
        <is>
          <t>2026-7-14</t>
        </is>
      </c>
    </row>
    <row r="153">
      <c r="A153">
        <f>IF(B153="","",ROW()-1)</f>
        <v/>
      </c>
      <c r="B153" t="inlineStr">
        <is>
          <t>PMTISCLIMS UTILITIES 8.7.2 PROD</t>
        </is>
      </c>
      <c r="C153" t="inlineStr">
        <is>
          <t>ASN0000297</t>
        </is>
      </c>
      <c r="D153" t="inlineStr">
        <is>
          <t>PT</t>
        </is>
      </c>
      <c r="E153" t="inlineStr">
        <is>
          <t>Samiksha</t>
        </is>
      </c>
      <c r="F153" t="inlineStr">
        <is>
          <t>Needs Review</t>
        </is>
      </c>
      <c r="H153" s="2" t="n"/>
      <c r="J153" t="inlineStr">
        <is>
          <t>Compliant</t>
        </is>
      </c>
      <c r="K153" s="2" t="inlineStr">
        <is>
          <t>2026-7-14</t>
        </is>
      </c>
    </row>
    <row r="154">
      <c r="A154">
        <f>IF(B154="","",ROW()-1)</f>
        <v/>
      </c>
      <c r="B154" t="inlineStr">
        <is>
          <t>R&amp;D LABVANTAGE LIMS 8.7.2 PROD</t>
        </is>
      </c>
      <c r="C154" t="inlineStr">
        <is>
          <t>ASN0001290</t>
        </is>
      </c>
      <c r="D154" t="inlineStr">
        <is>
          <t>PT</t>
        </is>
      </c>
      <c r="E154" t="inlineStr">
        <is>
          <t>Somasundara Barathi</t>
        </is>
      </c>
      <c r="F154" t="inlineStr">
        <is>
          <t>Quarterly</t>
        </is>
      </c>
      <c r="H154" s="2" t="n"/>
      <c r="J154" t="inlineStr">
        <is>
          <t>Compliant</t>
        </is>
      </c>
      <c r="K154" s="2" t="inlineStr">
        <is>
          <t>2026-7-14</t>
        </is>
      </c>
    </row>
    <row r="155">
      <c r="A155">
        <f>IF(B155="","",ROW()-1)</f>
        <v/>
      </c>
      <c r="B155" t="inlineStr">
        <is>
          <t>UOP R&amp;D LIMS UTILITIES 8.7.2 PROD</t>
        </is>
      </c>
      <c r="C155" t="inlineStr">
        <is>
          <t>ASN0002501</t>
        </is>
      </c>
      <c r="D155" t="inlineStr">
        <is>
          <t>PT</t>
        </is>
      </c>
      <c r="E155" t="inlineStr">
        <is>
          <t>Somasundara Barathi</t>
        </is>
      </c>
      <c r="F155" t="inlineStr">
        <is>
          <t>Quarterly</t>
        </is>
      </c>
      <c r="H155" s="2" t="n"/>
      <c r="J155" t="inlineStr">
        <is>
          <t>Compliant</t>
        </is>
      </c>
      <c r="K155" s="2" t="inlineStr">
        <is>
          <t>2026-7-14</t>
        </is>
      </c>
    </row>
    <row r="156">
      <c r="A156">
        <f>IF(B156="","",ROW()-1)</f>
        <v/>
      </c>
      <c r="B156" t="inlineStr">
        <is>
          <t>WINSHUTTLE V25.02 PROD CORP</t>
        </is>
      </c>
      <c r="C156" t="inlineStr">
        <is>
          <t>ASN0003265</t>
        </is>
      </c>
      <c r="D156" t="inlineStr">
        <is>
          <t>CORP</t>
        </is>
      </c>
      <c r="E156" t="inlineStr">
        <is>
          <t>Sonali Dhiman</t>
        </is>
      </c>
      <c r="F156" t="inlineStr">
        <is>
          <t>Annually</t>
        </is>
      </c>
      <c r="H156" s="2" t="n"/>
      <c r="J156" t="inlineStr">
        <is>
          <t>Compliant</t>
        </is>
      </c>
      <c r="K156" s="2" t="n"/>
    </row>
    <row r="157">
      <c r="A157">
        <f>IF(B157="","",ROW()-1)</f>
        <v/>
      </c>
      <c r="B157" t="inlineStr">
        <is>
          <t>Oracle Enterprise Manager 13.5 PROD</t>
        </is>
      </c>
      <c r="C157" t="inlineStr">
        <is>
          <t>ASN0010266</t>
        </is>
      </c>
      <c r="D157" t="inlineStr">
        <is>
          <t>CORP</t>
        </is>
      </c>
      <c r="E157" t="inlineStr">
        <is>
          <t>Sourabh Kulkarni</t>
        </is>
      </c>
      <c r="H157" s="2" t="n"/>
      <c r="J157" t="inlineStr">
        <is>
          <t>Compliant</t>
        </is>
      </c>
      <c r="K157" s="2" t="n"/>
    </row>
    <row r="158">
      <c r="A158">
        <f>IF(B158="","",ROW()-1)</f>
        <v/>
      </c>
      <c r="B158" t="inlineStr">
        <is>
          <t>EPLAN 2. X PROD</t>
        </is>
      </c>
      <c r="C158" t="inlineStr">
        <is>
          <t>ASN0001677</t>
        </is>
      </c>
      <c r="D158" t="inlineStr">
        <is>
          <t>IA</t>
        </is>
      </c>
      <c r="E158" t="inlineStr">
        <is>
          <t>Sreekanth Guntaka</t>
        </is>
      </c>
      <c r="H158" s="2" t="n"/>
      <c r="J158" t="inlineStr">
        <is>
          <t>Compliant</t>
        </is>
      </c>
      <c r="K158" s="2" t="n"/>
    </row>
    <row r="159">
      <c r="A159">
        <f>IF(B159="","",ROW()-1)</f>
        <v/>
      </c>
      <c r="B159" t="inlineStr">
        <is>
          <t>SIEMENS EDA EXPEDITION ENTERPRISE SUITE 2.14.1 PROD CORP</t>
        </is>
      </c>
      <c r="C159" t="inlineStr">
        <is>
          <t>ASN0013909</t>
        </is>
      </c>
      <c r="D159" t="inlineStr">
        <is>
          <t>CORP</t>
        </is>
      </c>
      <c r="E159" t="inlineStr">
        <is>
          <t>Sreekanth Guntaka</t>
        </is>
      </c>
      <c r="H159" s="2" t="n"/>
      <c r="J159" t="inlineStr">
        <is>
          <t>Compliant</t>
        </is>
      </c>
      <c r="K159" s="2" t="n"/>
    </row>
    <row r="160">
      <c r="A160">
        <f>IF(B160="","",ROW()-1)</f>
        <v/>
      </c>
      <c r="B160" t="inlineStr">
        <is>
          <t>CXO 6.4.0 PROD</t>
        </is>
      </c>
      <c r="C160" t="inlineStr">
        <is>
          <t>ASN0001353</t>
        </is>
      </c>
      <c r="D160" t="inlineStr">
        <is>
          <t>CORP</t>
        </is>
      </c>
      <c r="E160" t="inlineStr">
        <is>
          <t>Stephen Stelmack</t>
        </is>
      </c>
      <c r="H160" s="2" t="n"/>
      <c r="J160" t="inlineStr">
        <is>
          <t>Compliant</t>
        </is>
      </c>
      <c r="K160" s="2" t="n"/>
    </row>
    <row r="161">
      <c r="A161">
        <f>IF(B161="","",ROW()-1)</f>
        <v/>
      </c>
      <c r="B161" t="inlineStr">
        <is>
          <t>HYPERION HFM 11.2 PROD(HYPERION HFM 11.2 PROD) 11.2 PROD</t>
        </is>
      </c>
      <c r="C161" t="inlineStr">
        <is>
          <t>ASN0007958</t>
        </is>
      </c>
      <c r="D161" t="inlineStr">
        <is>
          <t>CORP</t>
        </is>
      </c>
      <c r="E161" t="inlineStr">
        <is>
          <t>Stephen Stelmack</t>
        </is>
      </c>
      <c r="H161" s="2" t="n"/>
      <c r="J161" t="inlineStr">
        <is>
          <t>Compliant</t>
        </is>
      </c>
      <c r="K161" s="2" t="n"/>
    </row>
    <row r="162">
      <c r="A162">
        <f>IF(B162="","",ROW()-1)</f>
        <v/>
      </c>
      <c r="B162" t="inlineStr">
        <is>
          <t>HYPERION PLANNING 11.2 PROD 11.2.0.0.0 PROD</t>
        </is>
      </c>
      <c r="C162" t="inlineStr">
        <is>
          <t>ASN0010073</t>
        </is>
      </c>
      <c r="D162" t="inlineStr">
        <is>
          <t>CORP</t>
        </is>
      </c>
      <c r="E162" t="inlineStr">
        <is>
          <t>Stephen Stelmack</t>
        </is>
      </c>
      <c r="H162" s="2" t="n"/>
      <c r="J162" t="inlineStr">
        <is>
          <t>Compliant</t>
        </is>
      </c>
      <c r="K162" s="2" t="n"/>
    </row>
    <row r="163">
      <c r="A163">
        <f>IF(B163="","",ROW()-1)</f>
        <v/>
      </c>
      <c r="B163" t="inlineStr">
        <is>
          <t>PERFORCE 1.0 PROD SPS</t>
        </is>
      </c>
      <c r="C163" t="inlineStr">
        <is>
          <t>ASN0008995</t>
        </is>
      </c>
      <c r="D163" t="inlineStr">
        <is>
          <t>IA</t>
        </is>
      </c>
      <c r="E163" t="inlineStr">
        <is>
          <t>Stephen Swindley</t>
        </is>
      </c>
      <c r="H163" s="2" t="n"/>
      <c r="J163" t="inlineStr">
        <is>
          <t>Compliant</t>
        </is>
      </c>
      <c r="K163" s="2" t="n"/>
    </row>
    <row r="164">
      <c r="A164">
        <f>IF(B164="","",ROW()-1)</f>
        <v/>
      </c>
      <c r="B164" t="inlineStr">
        <is>
          <t>ERP INFRA 4.2 PROD CORP</t>
        </is>
      </c>
      <c r="C164" t="inlineStr">
        <is>
          <t>ASN0015713</t>
        </is>
      </c>
      <c r="D164" t="inlineStr">
        <is>
          <t>CORP</t>
        </is>
      </c>
      <c r="E164" t="inlineStr">
        <is>
          <t>Sumanth Nemani</t>
        </is>
      </c>
      <c r="H164" s="2" t="n"/>
      <c r="J164" t="inlineStr">
        <is>
          <t>Non-Compliant</t>
        </is>
      </c>
      <c r="K164" s="2" t="n"/>
    </row>
    <row r="165">
      <c r="A165">
        <f>IF(B165="","",ROW()-1)</f>
        <v/>
      </c>
      <c r="B165" t="inlineStr">
        <is>
          <t>Babtec CAQ 7.2 PROD PMT</t>
        </is>
      </c>
      <c r="C165" t="inlineStr">
        <is>
          <t>ASN0000875</t>
        </is>
      </c>
      <c r="D165" t="inlineStr">
        <is>
          <t>IA</t>
        </is>
      </c>
      <c r="E165" t="inlineStr">
        <is>
          <t>Sunil Kawachale</t>
        </is>
      </c>
      <c r="H165" s="2" t="n"/>
      <c r="J165" t="inlineStr">
        <is>
          <t>Compliant</t>
        </is>
      </c>
      <c r="K165" s="2" t="n"/>
    </row>
    <row r="166">
      <c r="A166">
        <f>IF(B166="","",ROW()-1)</f>
        <v/>
      </c>
      <c r="B166" t="inlineStr">
        <is>
          <t>Sonic Wall Network Security Manager NSM-22 PROD BA</t>
        </is>
      </c>
      <c r="C166" t="inlineStr">
        <is>
          <t>ASN0013667</t>
        </is>
      </c>
      <c r="D166" t="inlineStr">
        <is>
          <t>BA</t>
        </is>
      </c>
      <c r="E166" t="inlineStr">
        <is>
          <t>Suresh V.</t>
        </is>
      </c>
      <c r="H166" s="2" t="n"/>
      <c r="J166" t="inlineStr">
        <is>
          <t>Compliant</t>
        </is>
      </c>
      <c r="K166" s="2" t="n"/>
    </row>
    <row r="167">
      <c r="A167">
        <f>IF(B167="","",ROW()-1)</f>
        <v/>
      </c>
      <c r="B167" t="inlineStr">
        <is>
          <t>GOLD  Standard PLM - PROD</t>
        </is>
      </c>
      <c r="C167" t="inlineStr">
        <is>
          <t>ASN0000718</t>
        </is>
      </c>
      <c r="D167" t="inlineStr">
        <is>
          <t>IA</t>
        </is>
      </c>
      <c r="E167" t="inlineStr">
        <is>
          <t>Thiruvarasan Palaniappan</t>
        </is>
      </c>
      <c r="F167" t="inlineStr">
        <is>
          <t>Monthly</t>
        </is>
      </c>
      <c r="H167" s="2" t="n"/>
      <c r="J167" t="inlineStr">
        <is>
          <t>Compliant</t>
        </is>
      </c>
      <c r="K167" s="2" t="n"/>
    </row>
    <row r="168">
      <c r="A168">
        <f>IF(B168="","",ROW()-1)</f>
        <v/>
      </c>
      <c r="B168" t="inlineStr">
        <is>
          <t>PTC-WINDCHILL 10.1.030 PROD BA</t>
        </is>
      </c>
      <c r="C168" t="inlineStr">
        <is>
          <t>ASN0002963</t>
        </is>
      </c>
      <c r="D168" t="inlineStr">
        <is>
          <t>BA</t>
        </is>
      </c>
      <c r="E168" t="inlineStr">
        <is>
          <t>Thiruvarasan Palaniappan</t>
        </is>
      </c>
      <c r="F168" t="inlineStr">
        <is>
          <t>Monthly</t>
        </is>
      </c>
      <c r="H168" s="2" t="n"/>
      <c r="J168" t="inlineStr">
        <is>
          <t>Non-Compliant</t>
        </is>
      </c>
      <c r="K168" s="2" t="n"/>
    </row>
    <row r="169">
      <c r="A169">
        <f>IF(B169="","",ROW()-1)</f>
        <v/>
      </c>
      <c r="B169" t="inlineStr">
        <is>
          <t>TEAMCENTER 1.0 PROD</t>
        </is>
      </c>
      <c r="C169" t="inlineStr">
        <is>
          <t>ASN0003020</t>
        </is>
      </c>
      <c r="D169" t="inlineStr">
        <is>
          <t>CORP</t>
        </is>
      </c>
      <c r="E169" t="inlineStr">
        <is>
          <t>Thiruvarasan Palaniappan</t>
        </is>
      </c>
      <c r="F169" t="inlineStr">
        <is>
          <t>Monthly</t>
        </is>
      </c>
      <c r="H169" s="2" t="n"/>
      <c r="J169" t="inlineStr">
        <is>
          <t>Compliant</t>
        </is>
      </c>
      <c r="K169" s="2" t="n"/>
    </row>
    <row r="170">
      <c r="A170">
        <f>IF(B170="","",ROW()-1)</f>
        <v/>
      </c>
      <c r="B170" t="inlineStr">
        <is>
          <t>Aero Teamcenter AECS (Lite)</t>
        </is>
      </c>
      <c r="C170" t="inlineStr">
        <is>
          <t>ASN0013517</t>
        </is>
      </c>
      <c r="D170" t="inlineStr">
        <is>
          <t>CORP</t>
        </is>
      </c>
      <c r="E170" t="inlineStr">
        <is>
          <t>Thiruvarasan Palaniappan</t>
        </is>
      </c>
      <c r="H170" s="2" t="n"/>
      <c r="J170" t="inlineStr">
        <is>
          <t>Compliant</t>
        </is>
      </c>
      <c r="K170" s="2" t="n"/>
    </row>
    <row r="171">
      <c r="A171">
        <f>IF(B171="","",ROW()-1)</f>
        <v/>
      </c>
      <c r="B171" t="inlineStr">
        <is>
          <t>Splunk EC PROD</t>
        </is>
      </c>
      <c r="C171" t="inlineStr">
        <is>
          <t>ASN0010585</t>
        </is>
      </c>
      <c r="D171" t="inlineStr">
        <is>
          <t>CORP</t>
        </is>
      </c>
      <c r="E171" t="inlineStr">
        <is>
          <t>Vasandha Kumar Sugumar</t>
        </is>
      </c>
      <c r="F171" t="inlineStr">
        <is>
          <t>Annually</t>
        </is>
      </c>
      <c r="H171" s="2" t="n"/>
      <c r="J171" t="inlineStr">
        <is>
          <t>Non-Compliant</t>
        </is>
      </c>
      <c r="K171" s="2" t="n"/>
    </row>
    <row r="172">
      <c r="A172">
        <f>IF(B172="","",ROW()-1)</f>
        <v/>
      </c>
      <c r="B172" t="inlineStr">
        <is>
          <t>Splunk PROD</t>
        </is>
      </c>
      <c r="C172" t="inlineStr">
        <is>
          <t>ASN0013671</t>
        </is>
      </c>
      <c r="D172" t="inlineStr">
        <is>
          <t>CORP</t>
        </is>
      </c>
      <c r="E172" t="inlineStr">
        <is>
          <t>Vasandha Kumar Sugumar</t>
        </is>
      </c>
      <c r="F172" t="inlineStr">
        <is>
          <t>Annually</t>
        </is>
      </c>
      <c r="H172" s="2" t="n"/>
      <c r="J172" t="inlineStr">
        <is>
          <t>Compliant</t>
        </is>
      </c>
      <c r="K172" s="2" t="n"/>
    </row>
    <row r="173">
      <c r="A173">
        <f>IF(B173="","",ROW()-1)</f>
        <v/>
      </c>
      <c r="B173" t="inlineStr">
        <is>
          <t>HAIL PIT Compliance Tool(HAIL PIT Compliance Tool) 1.0 PROD</t>
        </is>
      </c>
      <c r="C173" t="inlineStr">
        <is>
          <t>ASN0010049</t>
        </is>
      </c>
      <c r="D173" t="inlineStr">
        <is>
          <t>CORP</t>
        </is>
      </c>
      <c r="E173" t="inlineStr">
        <is>
          <t>Venkatakrishnan Nagasubramanian</t>
        </is>
      </c>
      <c r="H173" s="2" t="n"/>
      <c r="J173" t="inlineStr">
        <is>
          <t>Compliant</t>
        </is>
      </c>
      <c r="K173" s="2" t="n"/>
    </row>
    <row r="174">
      <c r="A174">
        <f>IF(B174="","",ROW()-1)</f>
        <v/>
      </c>
      <c r="B174" t="inlineStr">
        <is>
          <t>ProWatch 5.0.0. 12370 PROD</t>
        </is>
      </c>
      <c r="C174" t="inlineStr">
        <is>
          <t>ASN0002479</t>
        </is>
      </c>
      <c r="D174" t="inlineStr">
        <is>
          <t>CORP</t>
        </is>
      </c>
      <c r="E174" t="inlineStr">
        <is>
          <t>Venkatesh Viswanathan</t>
        </is>
      </c>
      <c r="H174" s="2" t="n"/>
      <c r="J174" t="inlineStr">
        <is>
          <t>Non-Compliant</t>
        </is>
      </c>
      <c r="K174" s="2" t="n"/>
    </row>
    <row r="175">
      <c r="A175">
        <f>IF(B175="","",ROW()-1)</f>
        <v/>
      </c>
      <c r="B175" t="inlineStr">
        <is>
          <t>EHC VRA   8.8 PROD</t>
        </is>
      </c>
      <c r="C175" t="inlineStr">
        <is>
          <t>ASN0002019</t>
        </is>
      </c>
      <c r="D175" t="inlineStr">
        <is>
          <t>CORP</t>
        </is>
      </c>
      <c r="E175" t="inlineStr">
        <is>
          <t>Venkatraman Lakshminarayanan</t>
        </is>
      </c>
      <c r="H175" s="2" t="n"/>
      <c r="J175" t="inlineStr">
        <is>
          <t>Compliant</t>
        </is>
      </c>
      <c r="K175" s="2" t="n"/>
    </row>
    <row r="176">
      <c r="A176">
        <f>IF(B176="","",ROW()-1)</f>
        <v/>
      </c>
      <c r="B176" t="inlineStr">
        <is>
          <t>Huo Zun Online Learning System 3.0 PROD SPS</t>
        </is>
      </c>
      <c r="C176" t="inlineStr">
        <is>
          <t>ASN0015210</t>
        </is>
      </c>
      <c r="D176" t="inlineStr">
        <is>
          <t>IA</t>
        </is>
      </c>
      <c r="E176" t="inlineStr">
        <is>
          <t>Vikram P B</t>
        </is>
      </c>
      <c r="F176" t="inlineStr">
        <is>
          <t>Annually</t>
        </is>
      </c>
      <c r="H176" s="2" t="n"/>
      <c r="J176" t="inlineStr">
        <is>
          <t>Compliant</t>
        </is>
      </c>
      <c r="K176" s="2" t="n">
        <v>46246</v>
      </c>
    </row>
    <row r="177">
      <c r="A177">
        <f>IF(B177="","",ROW()-1)</f>
        <v/>
      </c>
      <c r="B177" t="inlineStr">
        <is>
          <t>HONEYWELL PORTAL HEADLESS ARCHITECTURE 1.0 PROD CORP</t>
        </is>
      </c>
      <c r="C177" t="inlineStr">
        <is>
          <t>ASN0016213</t>
        </is>
      </c>
      <c r="D177" t="inlineStr">
        <is>
          <t>CORP</t>
        </is>
      </c>
      <c r="E177" t="inlineStr">
        <is>
          <t>Vikram P B</t>
        </is>
      </c>
      <c r="F177" t="inlineStr">
        <is>
          <t>Annually</t>
        </is>
      </c>
      <c r="H177" s="2" t="n"/>
      <c r="J177" t="inlineStr">
        <is>
          <t>Compliant</t>
        </is>
      </c>
      <c r="K177" s="2" t="n"/>
    </row>
    <row r="178">
      <c r="A178">
        <f>IF(B178="","",ROW()-1)</f>
        <v/>
      </c>
      <c r="B178" t="inlineStr">
        <is>
          <t>TAXWARE 6.0 PROD PT</t>
        </is>
      </c>
      <c r="C178" t="inlineStr">
        <is>
          <t>ASN0000126</t>
        </is>
      </c>
      <c r="D178" t="inlineStr">
        <is>
          <t>PT</t>
        </is>
      </c>
      <c r="E178" t="inlineStr">
        <is>
          <t>Komal,Samiksha</t>
        </is>
      </c>
      <c r="F178" t="inlineStr">
        <is>
          <t>Monthly</t>
        </is>
      </c>
      <c r="H178" s="2" t="n"/>
      <c r="J178" t="inlineStr">
        <is>
          <t>Compliant</t>
        </is>
      </c>
      <c r="K178" s="2" t="n">
        <v>46253</v>
      </c>
    </row>
    <row r="179">
      <c r="A179">
        <f>IF(B179="","",ROW()-1)</f>
        <v/>
      </c>
      <c r="B179" t="inlineStr">
        <is>
          <t>KOFAX CAPTURE AND KTM 10.2 PROD</t>
        </is>
      </c>
      <c r="C179" t="inlineStr">
        <is>
          <t>ASN0000507</t>
        </is>
      </c>
      <c r="D179" t="inlineStr">
        <is>
          <t>CORP</t>
        </is>
      </c>
      <c r="E179" t="inlineStr">
        <is>
          <t>Vikram Shamkumar</t>
        </is>
      </c>
      <c r="F179" t="inlineStr">
        <is>
          <t>Quarterly</t>
        </is>
      </c>
      <c r="H179" s="2" t="n"/>
      <c r="J179" t="inlineStr">
        <is>
          <t>Compliant</t>
        </is>
      </c>
      <c r="K179" s="2" t="n"/>
    </row>
    <row r="180">
      <c r="A180">
        <f>IF(B180="","",ROW()-1)</f>
        <v/>
      </c>
      <c r="B180" t="inlineStr">
        <is>
          <t>TAXWARE - CORP 6 PROD</t>
        </is>
      </c>
      <c r="C180" t="inlineStr">
        <is>
          <t>ASN0001052</t>
        </is>
      </c>
      <c r="D180" t="inlineStr">
        <is>
          <t>CORP</t>
        </is>
      </c>
      <c r="E180" t="inlineStr">
        <is>
          <t>Vikram Shamkumar</t>
        </is>
      </c>
      <c r="H180" s="2" t="n"/>
      <c r="J180" t="inlineStr">
        <is>
          <t>Compliant</t>
        </is>
      </c>
      <c r="K180" s="2" t="n"/>
    </row>
    <row r="181">
      <c r="A181">
        <f>IF(B181="","",ROW()-1)</f>
        <v/>
      </c>
      <c r="B181" t="inlineStr">
        <is>
          <t>TAXWARE ENTERPRISE 8.4 PROD</t>
        </is>
      </c>
      <c r="C181" t="inlineStr">
        <is>
          <t>ASN0001194</t>
        </is>
      </c>
      <c r="D181" t="inlineStr">
        <is>
          <t>BA</t>
        </is>
      </c>
      <c r="E181" t="inlineStr">
        <is>
          <t>Vikram Shamkumar</t>
        </is>
      </c>
      <c r="H181" s="2" t="n"/>
      <c r="J181" t="inlineStr">
        <is>
          <t>Compliant</t>
        </is>
      </c>
      <c r="K181" s="2" t="n"/>
    </row>
    <row r="182">
      <c r="A182">
        <f>IF(B182="","",ROW()-1)</f>
        <v/>
      </c>
      <c r="B182" t="inlineStr">
        <is>
          <t>VERTEX O SERIES - INTELLIGRATED 9.0.3.2.10 PROD</t>
        </is>
      </c>
      <c r="C182" t="inlineStr">
        <is>
          <t>ASN0001830</t>
        </is>
      </c>
      <c r="D182" t="inlineStr">
        <is>
          <t>IA</t>
        </is>
      </c>
      <c r="E182" t="inlineStr">
        <is>
          <t>Vikram Shamkumar</t>
        </is>
      </c>
      <c r="H182" s="2" t="n"/>
      <c r="J182" t="inlineStr">
        <is>
          <t>Compliant</t>
        </is>
      </c>
      <c r="K182" s="2" t="n"/>
    </row>
    <row r="183">
      <c r="A183">
        <f>IF(B183="","",ROW()-1)</f>
        <v/>
      </c>
      <c r="B183" t="inlineStr">
        <is>
          <t>AUTOBANKING 2.4 PROD</t>
        </is>
      </c>
      <c r="C183" t="inlineStr">
        <is>
          <t>ASN0006416</t>
        </is>
      </c>
      <c r="D183" t="inlineStr">
        <is>
          <t>CORP</t>
        </is>
      </c>
      <c r="E183" t="inlineStr">
        <is>
          <t>Vikram Shamkumar</t>
        </is>
      </c>
      <c r="H183" s="2" t="n"/>
      <c r="J183" t="inlineStr">
        <is>
          <t>Non-Compliant</t>
        </is>
      </c>
      <c r="K183" s="2" t="n"/>
    </row>
    <row r="184">
      <c r="A184">
        <f>IF(B184="","",ROW()-1)</f>
        <v/>
      </c>
      <c r="B184" t="inlineStr">
        <is>
          <t>Mendix Platform Pricing Funnel 10.18 PROD CORP</t>
        </is>
      </c>
      <c r="C184" t="inlineStr">
        <is>
          <t>ASN0020259</t>
        </is>
      </c>
      <c r="D184" t="inlineStr">
        <is>
          <t>CORP</t>
        </is>
      </c>
      <c r="E184" t="inlineStr">
        <is>
          <t>Vineeth K</t>
        </is>
      </c>
      <c r="F184" t="inlineStr">
        <is>
          <t>Quarterly</t>
        </is>
      </c>
      <c r="H184" s="2" t="n"/>
      <c r="J184" t="inlineStr">
        <is>
          <t>Non-Compliant</t>
        </is>
      </c>
      <c r="K184" s="2" t="n"/>
    </row>
    <row r="185">
      <c r="A185">
        <f>IF(B185="","",ROW()-1)</f>
        <v/>
      </c>
      <c r="B185" t="inlineStr">
        <is>
          <t>CHEF - PROD</t>
        </is>
      </c>
      <c r="C185" t="inlineStr">
        <is>
          <t>ASN0002698</t>
        </is>
      </c>
      <c r="D185" t="inlineStr">
        <is>
          <t>CORP</t>
        </is>
      </c>
      <c r="E185" t="inlineStr">
        <is>
          <t>Vivek H K</t>
        </is>
      </c>
      <c r="F185" t="inlineStr">
        <is>
          <t>Quarterly</t>
        </is>
      </c>
      <c r="H185" s="2" t="n"/>
      <c r="J185" t="inlineStr">
        <is>
          <t>Compliant</t>
        </is>
      </c>
      <c r="K185" s="2" t="n"/>
    </row>
    <row r="186">
      <c r="A186">
        <f>IF(B186="","",ROW()-1)</f>
        <v/>
      </c>
      <c r="B186" t="inlineStr">
        <is>
          <t>CHEF DFARS PROD CORP</t>
        </is>
      </c>
      <c r="C186" t="inlineStr">
        <is>
          <t>ASN0017306</t>
        </is>
      </c>
      <c r="D186" t="inlineStr">
        <is>
          <t>CORP</t>
        </is>
      </c>
      <c r="E186" t="inlineStr">
        <is>
          <t>Vivek H K</t>
        </is>
      </c>
      <c r="F186" t="inlineStr">
        <is>
          <t>Quarterly</t>
        </is>
      </c>
      <c r="H186" s="2" t="n"/>
      <c r="J186" t="inlineStr">
        <is>
          <t>Non-Compliant</t>
        </is>
      </c>
      <c r="K186" s="2" t="n"/>
    </row>
    <row r="187">
      <c r="A187">
        <f>IF(B187="","",ROW()-1)</f>
        <v/>
      </c>
      <c r="B187" t="inlineStr">
        <is>
          <t>ENTERPRISE AI/ML PLATFORM PRICE DESK 1.0 PROD CORP</t>
        </is>
      </c>
      <c r="C187" t="inlineStr">
        <is>
          <t>ASN0020263</t>
        </is>
      </c>
      <c r="D187" t="inlineStr">
        <is>
          <t>CORP</t>
        </is>
      </c>
      <c r="E187" t="inlineStr">
        <is>
          <t>VSB Sankar Gade</t>
        </is>
      </c>
      <c r="F187" t="inlineStr">
        <is>
          <t>Monthly</t>
        </is>
      </c>
      <c r="H187" s="2" t="n"/>
      <c r="J187" t="inlineStr">
        <is>
          <t>Non-Compliant</t>
        </is>
      </c>
      <c r="K187" s="2" t="n"/>
    </row>
    <row r="188">
      <c r="A188">
        <f>IF(B188="","",ROW()-1)</f>
        <v/>
      </c>
      <c r="B188" t="inlineStr">
        <is>
          <t>E-leave System for Front Line Employee 1.0 PROD</t>
        </is>
      </c>
      <c r="C188" t="inlineStr">
        <is>
          <t>ASN0002682</t>
        </is>
      </c>
      <c r="D188" t="inlineStr">
        <is>
          <t>BA</t>
        </is>
      </c>
      <c r="E188" t="inlineStr">
        <is>
          <t>Wutao Fan</t>
        </is>
      </c>
      <c r="H188" s="2" t="n"/>
      <c r="J188" t="inlineStr">
        <is>
          <t>Non-Compliant</t>
        </is>
      </c>
      <c r="K188" s="2" t="n"/>
    </row>
    <row r="189">
      <c r="A189">
        <f>IF(B189="","",ROW()-1)</f>
        <v/>
      </c>
      <c r="B189" t="inlineStr">
        <is>
          <t>SITECORE APPLICATIONS 9 PROD</t>
        </is>
      </c>
      <c r="C189" t="inlineStr">
        <is>
          <t>ASN0000203</t>
        </is>
      </c>
      <c r="D189" t="inlineStr">
        <is>
          <t>AERO</t>
        </is>
      </c>
      <c r="E189" t="inlineStr">
        <is>
          <t>Abhisek</t>
        </is>
      </c>
      <c r="F189" t="inlineStr">
        <is>
          <t>Needs Review</t>
        </is>
      </c>
      <c r="H189" s="2" t="n"/>
      <c r="K189" s="2" t="n"/>
    </row>
    <row r="190">
      <c r="A190">
        <f>IF(B190="","",ROW()-1)</f>
        <v/>
      </c>
      <c r="B190" t="inlineStr">
        <is>
          <t>AERO JIRA  NC 8.3.4 PROD</t>
        </is>
      </c>
      <c r="C190" t="inlineStr">
        <is>
          <t>ASN0000281</t>
        </is>
      </c>
      <c r="D190" t="inlineStr">
        <is>
          <t>CORP</t>
        </is>
      </c>
      <c r="E190" t="inlineStr">
        <is>
          <t>Adele Vance</t>
        </is>
      </c>
      <c r="F190" t="inlineStr">
        <is>
          <t>Needs Review</t>
        </is>
      </c>
      <c r="H190" s="2" t="n"/>
      <c r="K190" s="2" t="n"/>
    </row>
    <row r="191">
      <c r="A191">
        <f>IF(B191="","",ROW()-1)</f>
        <v/>
      </c>
      <c r="B191" t="inlineStr">
        <is>
          <t>TEAMCENTER - REDDITCH - STACK 1.0 PROD</t>
        </is>
      </c>
      <c r="C191" t="inlineStr">
        <is>
          <t>ASN0000327</t>
        </is>
      </c>
      <c r="D191" t="inlineStr">
        <is>
          <t>CORP</t>
        </is>
      </c>
      <c r="E191" t="inlineStr">
        <is>
          <t>Devi</t>
        </is>
      </c>
      <c r="F191" t="inlineStr">
        <is>
          <t>Needs Review</t>
        </is>
      </c>
      <c r="H191" s="2" t="n"/>
      <c r="K191" s="2" t="n"/>
    </row>
    <row r="192">
      <c r="A192">
        <f>IF(B192="","",ROW()-1)</f>
        <v/>
      </c>
      <c r="H192" s="2" t="n"/>
      <c r="K192" s="2" t="n"/>
    </row>
    <row r="193">
      <c r="A193">
        <f>IF(B193="","",ROW()-1)</f>
        <v/>
      </c>
      <c r="H193" s="2" t="n"/>
      <c r="K193" s="2" t="n"/>
    </row>
    <row r="194">
      <c r="A194">
        <f>IF(B194="","",ROW()-1)</f>
        <v/>
      </c>
      <c r="H194" s="2" t="n"/>
      <c r="K194" s="2" t="n"/>
    </row>
    <row r="195">
      <c r="A195">
        <f>IF(B195="","",ROW()-1)</f>
        <v/>
      </c>
      <c r="H195" s="2" t="n"/>
      <c r="K195" s="2" t="n"/>
    </row>
    <row r="196">
      <c r="A196">
        <f>IF(B196="","",ROW()-1)</f>
        <v/>
      </c>
      <c r="H196" s="2" t="n"/>
      <c r="K196" s="2" t="n"/>
    </row>
    <row r="197">
      <c r="A197">
        <f>IF(B197="","",ROW()-1)</f>
        <v/>
      </c>
      <c r="H197" s="2" t="n"/>
      <c r="K197" s="2" t="n"/>
    </row>
    <row r="198">
      <c r="A198">
        <f>IF(B198="","",ROW()-1)</f>
        <v/>
      </c>
      <c r="H198" s="2" t="n"/>
      <c r="K198" s="2" t="n"/>
    </row>
    <row r="199">
      <c r="A199">
        <f>IF(B199="","",ROW()-1)</f>
        <v/>
      </c>
      <c r="H199" s="2" t="n"/>
      <c r="K199" s="2" t="n"/>
    </row>
    <row r="200">
      <c r="A200">
        <f>IF(B200="","",ROW()-1)</f>
        <v/>
      </c>
      <c r="H200" s="2" t="n"/>
      <c r="K200" s="2" t="n"/>
    </row>
    <row r="201">
      <c r="A201">
        <f>IF(B201="","",ROW()-1)</f>
        <v/>
      </c>
      <c r="H201" s="2" t="n"/>
      <c r="K201" s="2" t="n"/>
    </row>
    <row r="202">
      <c r="A202">
        <f>IF(B202="","",ROW()-1)</f>
        <v/>
      </c>
      <c r="H202" s="2" t="n"/>
      <c r="K202" s="2" t="n"/>
    </row>
    <row r="203">
      <c r="A203">
        <f>IF(B203="","",ROW()-1)</f>
        <v/>
      </c>
      <c r="H203" s="2" t="n"/>
      <c r="K203" s="2" t="n"/>
    </row>
    <row r="204">
      <c r="A204">
        <f>IF(B204="","",ROW()-1)</f>
        <v/>
      </c>
      <c r="H204" s="2" t="n"/>
      <c r="K204" s="2" t="n"/>
    </row>
    <row r="205">
      <c r="A205">
        <f>IF(B205="","",ROW()-1)</f>
        <v/>
      </c>
      <c r="H205" s="2" t="n"/>
      <c r="K205" s="2" t="n"/>
    </row>
    <row r="206">
      <c r="A206">
        <f>IF(B206="","",ROW()-1)</f>
        <v/>
      </c>
      <c r="H206" s="2" t="n"/>
      <c r="K206" s="2" t="n"/>
    </row>
    <row r="207">
      <c r="A207">
        <f>IF(B207="","",ROW()-1)</f>
        <v/>
      </c>
      <c r="H207" s="2" t="n"/>
      <c r="K207" s="2" t="n"/>
    </row>
    <row r="208">
      <c r="A208">
        <f>IF(B208="","",ROW()-1)</f>
        <v/>
      </c>
      <c r="H208" s="2" t="n"/>
      <c r="K208" s="2" t="n"/>
    </row>
    <row r="209">
      <c r="A209">
        <f>IF(B209="","",ROW()-1)</f>
        <v/>
      </c>
      <c r="H209" s="2" t="n"/>
      <c r="K209" s="2" t="n"/>
    </row>
    <row r="210">
      <c r="A210">
        <f>IF(B210="","",ROW()-1)</f>
        <v/>
      </c>
      <c r="H210" s="2" t="n"/>
      <c r="K210" s="2" t="n"/>
    </row>
    <row r="211">
      <c r="A211">
        <f>IF(B211="","",ROW()-1)</f>
        <v/>
      </c>
      <c r="H211" s="2" t="n"/>
      <c r="K211" s="2" t="n"/>
    </row>
    <row r="212">
      <c r="A212">
        <f>IF(B212="","",ROW()-1)</f>
        <v/>
      </c>
      <c r="H212" s="2" t="n"/>
      <c r="K212" s="2" t="n"/>
    </row>
    <row r="213">
      <c r="A213">
        <f>IF(B213="","",ROW()-1)</f>
        <v/>
      </c>
      <c r="H213" s="2" t="n"/>
      <c r="K213" s="2" t="n"/>
    </row>
    <row r="214">
      <c r="A214">
        <f>IF(B214="","",ROW()-1)</f>
        <v/>
      </c>
      <c r="H214" s="2" t="n"/>
      <c r="K214" s="2" t="n"/>
    </row>
    <row r="215">
      <c r="A215">
        <f>IF(B215="","",ROW()-1)</f>
        <v/>
      </c>
      <c r="H215" s="2" t="n"/>
      <c r="K215" s="2" t="n"/>
    </row>
    <row r="216">
      <c r="A216">
        <f>IF(B216="","",ROW()-1)</f>
        <v/>
      </c>
      <c r="H216" s="2" t="n"/>
      <c r="K216" s="2" t="n"/>
    </row>
    <row r="217">
      <c r="A217">
        <f>IF(B217="","",ROW()-1)</f>
        <v/>
      </c>
      <c r="H217" s="2" t="n"/>
      <c r="K217" s="2" t="n"/>
    </row>
    <row r="218">
      <c r="A218">
        <f>IF(B218="","",ROW()-1)</f>
        <v/>
      </c>
      <c r="H218" s="2" t="n"/>
      <c r="K218" s="2" t="n"/>
    </row>
    <row r="219">
      <c r="A219">
        <f>IF(B219="","",ROW()-1)</f>
        <v/>
      </c>
      <c r="H219" s="2" t="n"/>
      <c r="K219" s="2" t="n"/>
    </row>
    <row r="220">
      <c r="A220">
        <f>IF(B220="","",ROW()-1)</f>
        <v/>
      </c>
      <c r="H220" s="2" t="n"/>
      <c r="K220" s="2" t="n"/>
    </row>
    <row r="221">
      <c r="A221">
        <f>IF(B221="","",ROW()-1)</f>
        <v/>
      </c>
      <c r="H221" s="2" t="n"/>
      <c r="K221" s="2" t="n"/>
    </row>
    <row r="222">
      <c r="A222">
        <f>IF(B222="","",ROW()-1)</f>
        <v/>
      </c>
      <c r="H222" s="2" t="n"/>
      <c r="K222" s="2" t="n"/>
    </row>
    <row r="223">
      <c r="A223">
        <f>IF(B223="","",ROW()-1)</f>
        <v/>
      </c>
      <c r="H223" s="2" t="n"/>
      <c r="K223" s="2" t="n"/>
    </row>
    <row r="224">
      <c r="A224">
        <f>IF(B224="","",ROW()-1)</f>
        <v/>
      </c>
      <c r="H224" s="2" t="n"/>
      <c r="K224" s="2" t="n"/>
    </row>
    <row r="225">
      <c r="A225">
        <f>IF(B225="","",ROW()-1)</f>
        <v/>
      </c>
      <c r="H225" s="2" t="n"/>
      <c r="K225" s="2" t="n"/>
    </row>
    <row r="226">
      <c r="A226">
        <f>IF(B226="","",ROW()-1)</f>
        <v/>
      </c>
      <c r="H226" s="2" t="n"/>
      <c r="K226" s="2" t="n"/>
    </row>
    <row r="227">
      <c r="A227">
        <f>IF(B227="","",ROW()-1)</f>
        <v/>
      </c>
      <c r="H227" s="2" t="n"/>
      <c r="K227" s="2" t="n"/>
    </row>
    <row r="228">
      <c r="A228">
        <f>IF(B228="","",ROW()-1)</f>
        <v/>
      </c>
      <c r="H228" s="2" t="n"/>
      <c r="K228" s="2" t="n"/>
    </row>
    <row r="229">
      <c r="A229">
        <f>IF(B229="","",ROW()-1)</f>
        <v/>
      </c>
      <c r="H229" s="2" t="n"/>
      <c r="K229" s="2" t="n"/>
    </row>
    <row r="230">
      <c r="A230">
        <f>IF(B230="","",ROW()-1)</f>
        <v/>
      </c>
      <c r="H230" s="2" t="n"/>
      <c r="K230" s="2" t="n"/>
    </row>
    <row r="231">
      <c r="A231">
        <f>IF(B231="","",ROW()-1)</f>
        <v/>
      </c>
      <c r="H231" s="2" t="n"/>
      <c r="K231" s="2" t="n"/>
    </row>
    <row r="232">
      <c r="A232">
        <f>IF(B232="","",ROW()-1)</f>
        <v/>
      </c>
      <c r="H232" s="2" t="n"/>
      <c r="K232" s="2" t="n"/>
    </row>
    <row r="233">
      <c r="A233">
        <f>IF(B233="","",ROW()-1)</f>
        <v/>
      </c>
      <c r="H233" s="2" t="n"/>
      <c r="K233" s="2" t="n"/>
    </row>
    <row r="234">
      <c r="A234">
        <f>IF(B234="","",ROW()-1)</f>
        <v/>
      </c>
      <c r="H234" s="2" t="n"/>
      <c r="K234" s="2" t="n"/>
    </row>
    <row r="235">
      <c r="A235">
        <f>IF(B235="","",ROW()-1)</f>
        <v/>
      </c>
      <c r="H235" s="2" t="n"/>
      <c r="K235" s="2" t="n"/>
    </row>
    <row r="236">
      <c r="A236">
        <f>IF(B236="","",ROW()-1)</f>
        <v/>
      </c>
      <c r="H236" s="2" t="n"/>
      <c r="K236" s="2" t="n"/>
    </row>
    <row r="237">
      <c r="A237">
        <f>IF(B237="","",ROW()-1)</f>
        <v/>
      </c>
      <c r="H237" s="2" t="n"/>
      <c r="K237" s="2" t="n"/>
    </row>
    <row r="238">
      <c r="A238">
        <f>IF(B238="","",ROW()-1)</f>
        <v/>
      </c>
      <c r="H238" s="2" t="n"/>
      <c r="K238" s="2" t="n"/>
    </row>
    <row r="239">
      <c r="A239">
        <f>IF(B239="","",ROW()-1)</f>
        <v/>
      </c>
      <c r="H239" s="2" t="n"/>
      <c r="K239" s="2" t="n"/>
    </row>
    <row r="240">
      <c r="A240">
        <f>IF(B240="","",ROW()-1)</f>
        <v/>
      </c>
      <c r="H240" s="2" t="n"/>
      <c r="K240" s="2" t="n"/>
    </row>
    <row r="241">
      <c r="A241">
        <f>IF(B241="","",ROW()-1)</f>
        <v/>
      </c>
      <c r="H241" s="2" t="n"/>
      <c r="K241" s="2" t="n"/>
    </row>
    <row r="242">
      <c r="A242">
        <f>IF(B242="","",ROW()-1)</f>
        <v/>
      </c>
      <c r="H242" s="2" t="n"/>
      <c r="K242" s="2" t="n"/>
    </row>
    <row r="243">
      <c r="A243">
        <f>IF(B243="","",ROW()-1)</f>
        <v/>
      </c>
      <c r="H243" s="2" t="n"/>
      <c r="K243" s="2" t="n"/>
    </row>
    <row r="244">
      <c r="A244">
        <f>IF(B244="","",ROW()-1)</f>
        <v/>
      </c>
      <c r="H244" s="2" t="n"/>
      <c r="K244" s="2" t="n"/>
    </row>
    <row r="245">
      <c r="A245">
        <f>IF(B245="","",ROW()-1)</f>
        <v/>
      </c>
      <c r="H245" s="2" t="n"/>
      <c r="K245" s="2" t="n"/>
    </row>
    <row r="246">
      <c r="A246">
        <f>IF(B246="","",ROW()-1)</f>
        <v/>
      </c>
      <c r="H246" s="2" t="n"/>
      <c r="K246" s="2" t="n"/>
    </row>
    <row r="247">
      <c r="A247">
        <f>IF(B247="","",ROW()-1)</f>
        <v/>
      </c>
      <c r="H247" s="2" t="n"/>
      <c r="K247" s="2" t="n"/>
    </row>
    <row r="248">
      <c r="A248">
        <f>IF(B248="","",ROW()-1)</f>
        <v/>
      </c>
      <c r="H248" s="2" t="n"/>
      <c r="K248" s="2" t="n"/>
    </row>
    <row r="249">
      <c r="A249">
        <f>IF(B249="","",ROW()-1)</f>
        <v/>
      </c>
      <c r="H249" s="2" t="n"/>
      <c r="K249" s="2" t="n"/>
    </row>
    <row r="250">
      <c r="A250">
        <f>IF(B250="","",ROW()-1)</f>
        <v/>
      </c>
      <c r="H250" s="2" t="n"/>
      <c r="K250" s="2" t="n"/>
    </row>
    <row r="251">
      <c r="A251">
        <f>IF(B251="","",ROW()-1)</f>
        <v/>
      </c>
      <c r="H251" s="2" t="n"/>
      <c r="K251" s="2" t="n"/>
    </row>
    <row r="252">
      <c r="A252">
        <f>IF(B252="","",ROW()-1)</f>
        <v/>
      </c>
      <c r="H252" s="2" t="n"/>
      <c r="K252" s="2" t="n"/>
    </row>
    <row r="253">
      <c r="A253">
        <f>IF(B253="","",ROW()-1)</f>
        <v/>
      </c>
      <c r="H253" s="2" t="n"/>
      <c r="K253" s="2" t="n"/>
    </row>
    <row r="254">
      <c r="A254">
        <f>IF(B254="","",ROW()-1)</f>
        <v/>
      </c>
      <c r="H254" s="2" t="n"/>
      <c r="K254" s="2" t="n"/>
    </row>
    <row r="255">
      <c r="A255">
        <f>IF(B255="","",ROW()-1)</f>
        <v/>
      </c>
      <c r="H255" s="2" t="n"/>
      <c r="K255" s="2" t="n"/>
    </row>
    <row r="256">
      <c r="A256">
        <f>IF(B256="","",ROW()-1)</f>
        <v/>
      </c>
      <c r="H256" s="2" t="n"/>
      <c r="K256" s="2" t="n"/>
    </row>
    <row r="257">
      <c r="A257">
        <f>IF(B257="","",ROW()-1)</f>
        <v/>
      </c>
      <c r="H257" s="2" t="n"/>
      <c r="K257" s="2" t="n"/>
    </row>
    <row r="258">
      <c r="A258">
        <f>IF(B258="","",ROW()-1)</f>
        <v/>
      </c>
      <c r="H258" s="2" t="n"/>
      <c r="K258" s="2" t="n"/>
    </row>
    <row r="259">
      <c r="A259">
        <f>IF(B259="","",ROW()-1)</f>
        <v/>
      </c>
      <c r="H259" s="2" t="n"/>
      <c r="K259" s="2" t="n"/>
    </row>
    <row r="260">
      <c r="A260">
        <f>IF(B260="","",ROW()-1)</f>
        <v/>
      </c>
      <c r="H260" s="2" t="n"/>
      <c r="K260" s="2" t="n"/>
    </row>
    <row r="261">
      <c r="A261">
        <f>IF(B261="","",ROW()-1)</f>
        <v/>
      </c>
      <c r="H261" s="2" t="n"/>
      <c r="K261" s="2" t="n"/>
    </row>
    <row r="262">
      <c r="A262">
        <f>IF(B262="","",ROW()-1)</f>
        <v/>
      </c>
      <c r="H262" s="2" t="n"/>
      <c r="K262" s="2" t="n"/>
    </row>
    <row r="263">
      <c r="A263">
        <f>IF(B263="","",ROW()-1)</f>
        <v/>
      </c>
      <c r="H263" s="2" t="n"/>
      <c r="K263" s="2" t="n"/>
    </row>
    <row r="264">
      <c r="A264">
        <f>IF(B264="","",ROW()-1)</f>
        <v/>
      </c>
      <c r="H264" s="2" t="n"/>
      <c r="K264" s="2" t="n"/>
    </row>
    <row r="265">
      <c r="A265">
        <f>IF(B265="","",ROW()-1)</f>
        <v/>
      </c>
      <c r="H265" s="2" t="n"/>
      <c r="K265" s="2" t="n"/>
    </row>
    <row r="266">
      <c r="A266">
        <f>IF(B266="","",ROW()-1)</f>
        <v/>
      </c>
      <c r="H266" s="2" t="n"/>
      <c r="K266" s="2" t="n"/>
    </row>
    <row r="267">
      <c r="A267">
        <f>IF(B267="","",ROW()-1)</f>
        <v/>
      </c>
      <c r="H267" s="2" t="n"/>
      <c r="K267" s="2" t="n"/>
    </row>
    <row r="268">
      <c r="A268">
        <f>IF(B268="","",ROW()-1)</f>
        <v/>
      </c>
      <c r="H268" s="2" t="n"/>
      <c r="K268" s="2" t="n"/>
    </row>
    <row r="269">
      <c r="A269">
        <f>IF(B269="","",ROW()-1)</f>
        <v/>
      </c>
      <c r="H269" s="2" t="n"/>
      <c r="K269" s="2" t="n"/>
    </row>
    <row r="270">
      <c r="A270">
        <f>IF(B270="","",ROW()-1)</f>
        <v/>
      </c>
      <c r="H270" s="2" t="n"/>
      <c r="K270" s="2" t="n"/>
    </row>
    <row r="271">
      <c r="A271">
        <f>IF(B271="","",ROW()-1)</f>
        <v/>
      </c>
      <c r="H271" s="2" t="n"/>
      <c r="K271" s="2" t="n"/>
    </row>
    <row r="272">
      <c r="A272">
        <f>IF(B272="","",ROW()-1)</f>
        <v/>
      </c>
      <c r="H272" s="2" t="n"/>
      <c r="K272" s="2" t="n"/>
    </row>
    <row r="273">
      <c r="A273">
        <f>IF(B273="","",ROW()-1)</f>
        <v/>
      </c>
      <c r="H273" s="2" t="n"/>
      <c r="K273" s="2" t="n"/>
    </row>
    <row r="274">
      <c r="A274">
        <f>IF(B274="","",ROW()-1)</f>
        <v/>
      </c>
      <c r="H274" s="2" t="n"/>
      <c r="K274" s="2" t="n"/>
    </row>
    <row r="275">
      <c r="A275">
        <f>IF(B275="","",ROW()-1)</f>
        <v/>
      </c>
      <c r="H275" s="2" t="n"/>
      <c r="K275" s="2" t="n"/>
    </row>
    <row r="276">
      <c r="A276">
        <f>IF(B276="","",ROW()-1)</f>
        <v/>
      </c>
      <c r="H276" s="2" t="n"/>
      <c r="K276" s="2" t="n"/>
    </row>
    <row r="277">
      <c r="A277">
        <f>IF(B277="","",ROW()-1)</f>
        <v/>
      </c>
      <c r="H277" s="2" t="n"/>
      <c r="K277" s="2" t="n"/>
    </row>
    <row r="278">
      <c r="A278">
        <f>IF(B278="","",ROW()-1)</f>
        <v/>
      </c>
      <c r="H278" s="2" t="n"/>
      <c r="K278" s="2" t="n"/>
    </row>
    <row r="279">
      <c r="A279">
        <f>IF(B279="","",ROW()-1)</f>
        <v/>
      </c>
      <c r="H279" s="2" t="n"/>
      <c r="K279" s="2" t="n"/>
    </row>
    <row r="280">
      <c r="A280">
        <f>IF(B280="","",ROW()-1)</f>
        <v/>
      </c>
      <c r="H280" s="2" t="n"/>
      <c r="K280" s="2" t="n"/>
    </row>
    <row r="281">
      <c r="A281">
        <f>IF(B281="","",ROW()-1)</f>
        <v/>
      </c>
      <c r="H281" s="2" t="n"/>
      <c r="K281" s="2" t="n"/>
    </row>
    <row r="282">
      <c r="A282">
        <f>IF(B282="","",ROW()-1)</f>
        <v/>
      </c>
      <c r="H282" s="2" t="n"/>
      <c r="K282" s="2" t="n"/>
    </row>
    <row r="283">
      <c r="A283">
        <f>IF(B283="","",ROW()-1)</f>
        <v/>
      </c>
      <c r="H283" s="2" t="n"/>
      <c r="K283" s="2" t="n"/>
    </row>
    <row r="284">
      <c r="A284">
        <f>IF(B284="","",ROW()-1)</f>
        <v/>
      </c>
      <c r="H284" s="2" t="n"/>
      <c r="K284" s="2" t="n"/>
    </row>
    <row r="285">
      <c r="A285">
        <f>IF(B285="","",ROW()-1)</f>
        <v/>
      </c>
      <c r="H285" s="2" t="n"/>
      <c r="K285" s="2" t="n"/>
    </row>
    <row r="286">
      <c r="A286">
        <f>IF(B286="","",ROW()-1)</f>
        <v/>
      </c>
      <c r="H286" s="2" t="n"/>
      <c r="K286" s="2" t="n"/>
    </row>
    <row r="287">
      <c r="A287">
        <f>IF(B287="","",ROW()-1)</f>
        <v/>
      </c>
      <c r="H287" s="2" t="n"/>
      <c r="K287" s="2" t="n"/>
    </row>
    <row r="288">
      <c r="A288">
        <f>IF(B288="","",ROW()-1)</f>
        <v/>
      </c>
      <c r="H288" s="2" t="n"/>
      <c r="K288" s="2" t="n"/>
    </row>
    <row r="289">
      <c r="A289">
        <f>IF(B289="","",ROW()-1)</f>
        <v/>
      </c>
      <c r="H289" s="2" t="n"/>
      <c r="K289" s="2" t="n"/>
    </row>
    <row r="290">
      <c r="A290">
        <f>IF(B290="","",ROW()-1)</f>
        <v/>
      </c>
      <c r="H290" s="2" t="n"/>
      <c r="K290" s="2" t="n"/>
    </row>
    <row r="291">
      <c r="A291">
        <f>IF(B291="","",ROW()-1)</f>
        <v/>
      </c>
      <c r="H291" s="2" t="n"/>
      <c r="K291" s="2" t="n"/>
    </row>
    <row r="292">
      <c r="A292">
        <f>IF(B292="","",ROW()-1)</f>
        <v/>
      </c>
      <c r="H292" s="2" t="n"/>
      <c r="K292" s="2" t="n"/>
    </row>
    <row r="293">
      <c r="A293">
        <f>IF(B293="","",ROW()-1)</f>
        <v/>
      </c>
      <c r="H293" s="2" t="n"/>
      <c r="K293" s="2" t="n"/>
    </row>
    <row r="294">
      <c r="A294">
        <f>IF(B294="","",ROW()-1)</f>
        <v/>
      </c>
      <c r="H294" s="2" t="n"/>
      <c r="K294" s="2" t="n"/>
    </row>
    <row r="295">
      <c r="A295">
        <f>IF(B295="","",ROW()-1)</f>
        <v/>
      </c>
      <c r="H295" s="2" t="n"/>
      <c r="K295" s="2" t="n"/>
    </row>
    <row r="296">
      <c r="A296">
        <f>IF(B296="","",ROW()-1)</f>
        <v/>
      </c>
      <c r="H296" s="2" t="n"/>
      <c r="K296" s="2" t="n"/>
    </row>
    <row r="297">
      <c r="A297">
        <f>IF(B297="","",ROW()-1)</f>
        <v/>
      </c>
      <c r="H297" s="2" t="n"/>
      <c r="K297" s="2" t="n"/>
    </row>
    <row r="298">
      <c r="A298">
        <f>IF(B298="","",ROW()-1)</f>
        <v/>
      </c>
      <c r="H298" s="2" t="n"/>
      <c r="K298" s="2" t="n"/>
    </row>
    <row r="299">
      <c r="A299">
        <f>IF(B299="","",ROW()-1)</f>
        <v/>
      </c>
      <c r="H299" s="2" t="n"/>
      <c r="K299" s="2" t="n"/>
    </row>
    <row r="300">
      <c r="A300">
        <f>IF(B300="","",ROW()-1)</f>
        <v/>
      </c>
      <c r="H300" s="2" t="n"/>
      <c r="K300" s="2" t="n"/>
    </row>
    <row r="301">
      <c r="A301">
        <f>IF(B301="","",ROW()-1)</f>
        <v/>
      </c>
      <c r="H301" s="2" t="n"/>
      <c r="K301" s="2" t="n"/>
    </row>
    <row r="302">
      <c r="A302">
        <f>IF(B302="","",ROW()-1)</f>
        <v/>
      </c>
      <c r="H302" s="2" t="n"/>
      <c r="K302" s="2" t="n"/>
    </row>
    <row r="303">
      <c r="A303">
        <f>IF(B303="","",ROW()-1)</f>
        <v/>
      </c>
      <c r="H303" s="2" t="n"/>
      <c r="K303" s="2" t="n"/>
    </row>
    <row r="304">
      <c r="A304">
        <f>IF(B304="","",ROW()-1)</f>
        <v/>
      </c>
      <c r="H304" s="2" t="n"/>
      <c r="K304" s="2" t="n"/>
    </row>
    <row r="305">
      <c r="A305">
        <f>IF(B305="","",ROW()-1)</f>
        <v/>
      </c>
      <c r="H305" s="2" t="n"/>
      <c r="K305" s="2" t="n"/>
    </row>
    <row r="306">
      <c r="A306">
        <f>IF(B306="","",ROW()-1)</f>
        <v/>
      </c>
      <c r="H306" s="2" t="n"/>
      <c r="K306" s="2" t="n"/>
    </row>
    <row r="307">
      <c r="A307">
        <f>IF(B307="","",ROW()-1)</f>
        <v/>
      </c>
      <c r="H307" s="2" t="n"/>
      <c r="K307" s="2" t="n"/>
    </row>
    <row r="308">
      <c r="A308">
        <f>IF(B308="","",ROW()-1)</f>
        <v/>
      </c>
      <c r="H308" s="2" t="n"/>
      <c r="K308" s="2" t="n"/>
    </row>
    <row r="309">
      <c r="A309">
        <f>IF(B309="","",ROW()-1)</f>
        <v/>
      </c>
      <c r="H309" s="2" t="n"/>
      <c r="K309" s="2" t="n"/>
    </row>
    <row r="310">
      <c r="A310">
        <f>IF(B310="","",ROW()-1)</f>
        <v/>
      </c>
      <c r="H310" s="2" t="n"/>
      <c r="K310" s="2" t="n"/>
    </row>
    <row r="311">
      <c r="A311">
        <f>IF(B311="","",ROW()-1)</f>
        <v/>
      </c>
      <c r="H311" s="2" t="n"/>
      <c r="K311" s="2" t="n"/>
    </row>
    <row r="312">
      <c r="A312">
        <f>IF(B312="","",ROW()-1)</f>
        <v/>
      </c>
      <c r="H312" s="2" t="n"/>
      <c r="K312" s="2" t="n"/>
    </row>
    <row r="313">
      <c r="A313">
        <f>IF(B313="","",ROW()-1)</f>
        <v/>
      </c>
      <c r="H313" s="2" t="n"/>
      <c r="K313" s="2" t="n"/>
    </row>
    <row r="314">
      <c r="A314">
        <f>IF(B314="","",ROW()-1)</f>
        <v/>
      </c>
      <c r="H314" s="2" t="n"/>
      <c r="K314" s="2" t="n"/>
    </row>
    <row r="315">
      <c r="A315">
        <f>IF(B315="","",ROW()-1)</f>
        <v/>
      </c>
      <c r="H315" s="2" t="n"/>
      <c r="K315" s="2" t="n"/>
    </row>
    <row r="316">
      <c r="A316">
        <f>IF(B316="","",ROW()-1)</f>
        <v/>
      </c>
      <c r="H316" s="2" t="n"/>
      <c r="K316" s="2" t="n"/>
    </row>
    <row r="317">
      <c r="A317">
        <f>IF(B317="","",ROW()-1)</f>
        <v/>
      </c>
      <c r="H317" s="2" t="n"/>
      <c r="K317" s="2" t="n"/>
    </row>
    <row r="318">
      <c r="A318">
        <f>IF(B318="","",ROW()-1)</f>
        <v/>
      </c>
      <c r="H318" s="2" t="n"/>
      <c r="K318" s="2" t="n"/>
    </row>
    <row r="319">
      <c r="A319">
        <f>IF(B319="","",ROW()-1)</f>
        <v/>
      </c>
      <c r="H319" s="2" t="n"/>
      <c r="K319" s="2" t="n"/>
    </row>
    <row r="320">
      <c r="A320">
        <f>IF(B320="","",ROW()-1)</f>
        <v/>
      </c>
      <c r="H320" s="2" t="n"/>
      <c r="K320" s="2" t="n"/>
    </row>
    <row r="321">
      <c r="A321">
        <f>IF(B321="","",ROW()-1)</f>
        <v/>
      </c>
      <c r="H321" s="2" t="n"/>
      <c r="K321" s="2" t="n"/>
    </row>
    <row r="322">
      <c r="A322">
        <f>IF(B322="","",ROW()-1)</f>
        <v/>
      </c>
      <c r="H322" s="2" t="n"/>
      <c r="K322" s="2" t="n"/>
    </row>
    <row r="323">
      <c r="A323">
        <f>IF(B323="","",ROW()-1)</f>
        <v/>
      </c>
      <c r="H323" s="2" t="n"/>
      <c r="K323" s="2" t="n"/>
    </row>
    <row r="324">
      <c r="A324">
        <f>IF(B324="","",ROW()-1)</f>
        <v/>
      </c>
      <c r="H324" s="2" t="n"/>
      <c r="K324" s="2" t="n"/>
    </row>
    <row r="325">
      <c r="A325">
        <f>IF(B325="","",ROW()-1)</f>
        <v/>
      </c>
      <c r="H325" s="2" t="n"/>
      <c r="K325" s="2" t="n"/>
    </row>
    <row r="326">
      <c r="A326">
        <f>IF(B326="","",ROW()-1)</f>
        <v/>
      </c>
      <c r="H326" s="2" t="n"/>
      <c r="K326" s="2" t="n"/>
    </row>
    <row r="327">
      <c r="A327">
        <f>IF(B327="","",ROW()-1)</f>
        <v/>
      </c>
      <c r="H327" s="2" t="n"/>
      <c r="K327" s="2" t="n"/>
    </row>
    <row r="328">
      <c r="A328">
        <f>IF(B328="","",ROW()-1)</f>
        <v/>
      </c>
      <c r="H328" s="2" t="n"/>
      <c r="K328" s="2" t="n"/>
    </row>
    <row r="329">
      <c r="A329">
        <f>IF(B329="","",ROW()-1)</f>
        <v/>
      </c>
      <c r="H329" s="2" t="n"/>
      <c r="K329" s="2" t="n"/>
    </row>
    <row r="330">
      <c r="A330">
        <f>IF(B330="","",ROW()-1)</f>
        <v/>
      </c>
      <c r="H330" s="2" t="n"/>
      <c r="K330" s="2" t="n"/>
    </row>
    <row r="331">
      <c r="A331">
        <f>IF(B331="","",ROW()-1)</f>
        <v/>
      </c>
      <c r="H331" s="2" t="n"/>
      <c r="K331" s="2" t="n"/>
    </row>
    <row r="332">
      <c r="A332">
        <f>IF(B332="","",ROW()-1)</f>
        <v/>
      </c>
      <c r="H332" s="2" t="n"/>
      <c r="K332" s="2" t="n"/>
    </row>
    <row r="333">
      <c r="A333">
        <f>IF(B333="","",ROW()-1)</f>
        <v/>
      </c>
      <c r="H333" s="2" t="n"/>
      <c r="K333" s="2" t="n"/>
    </row>
    <row r="334">
      <c r="A334">
        <f>IF(B334="","",ROW()-1)</f>
        <v/>
      </c>
      <c r="H334" s="2" t="n"/>
      <c r="K334" s="2" t="n"/>
    </row>
    <row r="335">
      <c r="A335">
        <f>IF(B335="","",ROW()-1)</f>
        <v/>
      </c>
      <c r="H335" s="2" t="n"/>
      <c r="K335" s="2" t="n"/>
    </row>
    <row r="336">
      <c r="A336">
        <f>IF(B336="","",ROW()-1)</f>
        <v/>
      </c>
      <c r="H336" s="2" t="n"/>
      <c r="K336" s="2" t="n"/>
    </row>
    <row r="337">
      <c r="A337">
        <f>IF(B337="","",ROW()-1)</f>
        <v/>
      </c>
      <c r="H337" s="2" t="n"/>
      <c r="K337" s="2" t="n"/>
    </row>
    <row r="338">
      <c r="A338">
        <f>IF(B338="","",ROW()-1)</f>
        <v/>
      </c>
      <c r="H338" s="2" t="n"/>
      <c r="K338" s="2" t="n"/>
    </row>
    <row r="339">
      <c r="A339">
        <f>IF(B339="","",ROW()-1)</f>
        <v/>
      </c>
      <c r="H339" s="2" t="n"/>
      <c r="K339" s="2" t="n"/>
    </row>
    <row r="340">
      <c r="A340">
        <f>IF(B340="","",ROW()-1)</f>
        <v/>
      </c>
      <c r="H340" s="2" t="n"/>
      <c r="K340" s="2" t="n"/>
    </row>
    <row r="341">
      <c r="A341">
        <f>IF(B341="","",ROW()-1)</f>
        <v/>
      </c>
      <c r="H341" s="2" t="n"/>
      <c r="K341" s="2" t="n"/>
    </row>
    <row r="342">
      <c r="A342">
        <f>IF(B342="","",ROW()-1)</f>
        <v/>
      </c>
      <c r="H342" s="2" t="n"/>
      <c r="K342" s="2" t="n"/>
    </row>
    <row r="343">
      <c r="A343">
        <f>IF(B343="","",ROW()-1)</f>
        <v/>
      </c>
      <c r="H343" s="2" t="n"/>
      <c r="K343" s="2" t="n"/>
    </row>
    <row r="344">
      <c r="A344">
        <f>IF(B344="","",ROW()-1)</f>
        <v/>
      </c>
      <c r="H344" s="2" t="n"/>
      <c r="K344" s="2" t="n"/>
    </row>
    <row r="345">
      <c r="A345">
        <f>IF(B345="","",ROW()-1)</f>
        <v/>
      </c>
      <c r="H345" s="2" t="n"/>
      <c r="K345" s="2" t="n"/>
    </row>
    <row r="346">
      <c r="A346">
        <f>IF(B346="","",ROW()-1)</f>
        <v/>
      </c>
      <c r="H346" s="2" t="n"/>
      <c r="K346" s="2" t="n"/>
    </row>
    <row r="347">
      <c r="A347">
        <f>IF(B347="","",ROW()-1)</f>
        <v/>
      </c>
      <c r="H347" s="2" t="n"/>
      <c r="K347" s="2" t="n"/>
    </row>
    <row r="348">
      <c r="A348">
        <f>IF(B348="","",ROW()-1)</f>
        <v/>
      </c>
      <c r="H348" s="2" t="n"/>
      <c r="K348" s="2" t="n"/>
    </row>
    <row r="349">
      <c r="A349">
        <f>IF(B349="","",ROW()-1)</f>
        <v/>
      </c>
      <c r="H349" s="2" t="n"/>
      <c r="K349" s="2" t="n"/>
    </row>
    <row r="350">
      <c r="A350">
        <f>IF(B350="","",ROW()-1)</f>
        <v/>
      </c>
      <c r="H350" s="2" t="n"/>
      <c r="K350" s="2" t="n"/>
    </row>
    <row r="351">
      <c r="A351">
        <f>IF(B351="","",ROW()-1)</f>
        <v/>
      </c>
      <c r="H351" s="2" t="n"/>
      <c r="K351" s="2" t="n"/>
    </row>
    <row r="352">
      <c r="A352">
        <f>IF(B352="","",ROW()-1)</f>
        <v/>
      </c>
      <c r="H352" s="2" t="n"/>
      <c r="K352" s="2" t="n"/>
    </row>
    <row r="353">
      <c r="A353">
        <f>IF(B353="","",ROW()-1)</f>
        <v/>
      </c>
      <c r="H353" s="2" t="n"/>
      <c r="K353" s="2" t="n"/>
    </row>
    <row r="354">
      <c r="A354">
        <f>IF(B354="","",ROW()-1)</f>
        <v/>
      </c>
      <c r="H354" s="2" t="n"/>
      <c r="K354" s="2" t="n"/>
    </row>
    <row r="355">
      <c r="A355">
        <f>IF(B355="","",ROW()-1)</f>
        <v/>
      </c>
      <c r="H355" s="2" t="n"/>
      <c r="K355" s="2" t="n"/>
    </row>
    <row r="356">
      <c r="A356">
        <f>IF(B356="","",ROW()-1)</f>
        <v/>
      </c>
      <c r="H356" s="2" t="n"/>
      <c r="K356" s="2" t="n"/>
    </row>
    <row r="357">
      <c r="A357">
        <f>IF(B357="","",ROW()-1)</f>
        <v/>
      </c>
      <c r="H357" s="2" t="n"/>
      <c r="K357" s="2" t="n"/>
    </row>
    <row r="358">
      <c r="A358">
        <f>IF(B358="","",ROW()-1)</f>
        <v/>
      </c>
      <c r="H358" s="2" t="n"/>
      <c r="K358" s="2" t="n"/>
    </row>
    <row r="359">
      <c r="A359">
        <f>IF(B359="","",ROW()-1)</f>
        <v/>
      </c>
      <c r="H359" s="2" t="n"/>
      <c r="K359" s="2" t="n"/>
    </row>
    <row r="360">
      <c r="A360">
        <f>IF(B360="","",ROW()-1)</f>
        <v/>
      </c>
      <c r="H360" s="2" t="n"/>
      <c r="K360" s="2" t="n"/>
    </row>
    <row r="361">
      <c r="A361">
        <f>IF(B361="","",ROW()-1)</f>
        <v/>
      </c>
      <c r="H361" s="2" t="n"/>
      <c r="K361" s="2" t="n"/>
    </row>
    <row r="362">
      <c r="A362">
        <f>IF(B362="","",ROW()-1)</f>
        <v/>
      </c>
      <c r="H362" s="2" t="n"/>
      <c r="K362" s="2" t="n"/>
    </row>
    <row r="363">
      <c r="A363">
        <f>IF(B363="","",ROW()-1)</f>
        <v/>
      </c>
      <c r="H363" s="2" t="n"/>
      <c r="K363" s="2" t="n"/>
    </row>
    <row r="364">
      <c r="A364">
        <f>IF(B364="","",ROW()-1)</f>
        <v/>
      </c>
      <c r="H364" s="2" t="n"/>
      <c r="K364" s="2" t="n"/>
    </row>
    <row r="365">
      <c r="A365">
        <f>IF(B365="","",ROW()-1)</f>
        <v/>
      </c>
      <c r="H365" s="2" t="n"/>
      <c r="K365" s="2" t="n"/>
    </row>
    <row r="366">
      <c r="A366">
        <f>IF(B366="","",ROW()-1)</f>
        <v/>
      </c>
      <c r="H366" s="2" t="n"/>
      <c r="K366" s="2" t="n"/>
    </row>
    <row r="367">
      <c r="A367">
        <f>IF(B367="","",ROW()-1)</f>
        <v/>
      </c>
      <c r="H367" s="2" t="n"/>
      <c r="K367" s="2" t="n"/>
    </row>
    <row r="368">
      <c r="A368">
        <f>IF(B368="","",ROW()-1)</f>
        <v/>
      </c>
      <c r="H368" s="2" t="n"/>
      <c r="K368" s="2" t="n"/>
    </row>
    <row r="369">
      <c r="A369">
        <f>IF(B369="","",ROW()-1)</f>
        <v/>
      </c>
      <c r="H369" s="2" t="n"/>
      <c r="K369" s="2" t="n"/>
    </row>
    <row r="370">
      <c r="A370">
        <f>IF(B370="","",ROW()-1)</f>
        <v/>
      </c>
      <c r="H370" s="2" t="n"/>
      <c r="K370" s="2" t="n"/>
    </row>
    <row r="371">
      <c r="A371">
        <f>IF(B371="","",ROW()-1)</f>
        <v/>
      </c>
      <c r="H371" s="2" t="n"/>
      <c r="K371" s="2" t="n"/>
    </row>
    <row r="372">
      <c r="A372">
        <f>IF(B372="","",ROW()-1)</f>
        <v/>
      </c>
      <c r="H372" s="2" t="n"/>
      <c r="K372" s="2" t="n"/>
    </row>
    <row r="373">
      <c r="A373">
        <f>IF(B373="","",ROW()-1)</f>
        <v/>
      </c>
      <c r="H373" s="2" t="n"/>
      <c r="K373" s="2" t="n"/>
    </row>
    <row r="374">
      <c r="A374">
        <f>IF(B374="","",ROW()-1)</f>
        <v/>
      </c>
      <c r="H374" s="2" t="n"/>
      <c r="K374" s="2" t="n"/>
    </row>
    <row r="375">
      <c r="A375">
        <f>IF(B375="","",ROW()-1)</f>
        <v/>
      </c>
      <c r="H375" s="2" t="n"/>
      <c r="K375" s="2" t="n"/>
    </row>
    <row r="376">
      <c r="A376">
        <f>IF(B376="","",ROW()-1)</f>
        <v/>
      </c>
      <c r="H376" s="2" t="n"/>
      <c r="K376" s="2" t="n"/>
    </row>
    <row r="377">
      <c r="A377">
        <f>IF(B377="","",ROW()-1)</f>
        <v/>
      </c>
      <c r="H377" s="2" t="n"/>
      <c r="K377" s="2" t="n"/>
    </row>
    <row r="378">
      <c r="A378">
        <f>IF(B378="","",ROW()-1)</f>
        <v/>
      </c>
      <c r="H378" s="2" t="n"/>
      <c r="K378" s="2" t="n"/>
    </row>
    <row r="379">
      <c r="A379">
        <f>IF(B379="","",ROW()-1)</f>
        <v/>
      </c>
      <c r="H379" s="2" t="n"/>
      <c r="K379" s="2" t="n"/>
    </row>
    <row r="380">
      <c r="A380">
        <f>IF(B380="","",ROW()-1)</f>
        <v/>
      </c>
      <c r="H380" s="2" t="n"/>
      <c r="K380" s="2" t="n"/>
    </row>
    <row r="381">
      <c r="A381">
        <f>IF(B381="","",ROW()-1)</f>
        <v/>
      </c>
      <c r="H381" s="2" t="n"/>
      <c r="K381" s="2" t="n"/>
    </row>
    <row r="382">
      <c r="A382">
        <f>IF(B382="","",ROW()-1)</f>
        <v/>
      </c>
      <c r="H382" s="2" t="n"/>
      <c r="K382" s="2" t="n"/>
    </row>
    <row r="383">
      <c r="A383">
        <f>IF(B383="","",ROW()-1)</f>
        <v/>
      </c>
      <c r="H383" s="2" t="n"/>
      <c r="K383" s="2" t="n"/>
    </row>
    <row r="384">
      <c r="A384">
        <f>IF(B384="","",ROW()-1)</f>
        <v/>
      </c>
      <c r="H384" s="2" t="n"/>
      <c r="K384" s="2" t="n"/>
    </row>
    <row r="385">
      <c r="A385">
        <f>IF(B385="","",ROW()-1)</f>
        <v/>
      </c>
      <c r="H385" s="2" t="n"/>
      <c r="K385" s="2" t="n"/>
    </row>
    <row r="386">
      <c r="A386">
        <f>IF(B386="","",ROW()-1)</f>
        <v/>
      </c>
      <c r="H386" s="2" t="n"/>
      <c r="K386" s="2" t="n"/>
    </row>
    <row r="387">
      <c r="A387">
        <f>IF(B387="","",ROW()-1)</f>
        <v/>
      </c>
      <c r="H387" s="2" t="n"/>
      <c r="K387" s="2" t="n"/>
    </row>
    <row r="388">
      <c r="A388">
        <f>IF(B388="","",ROW()-1)</f>
        <v/>
      </c>
      <c r="H388" s="2" t="n"/>
      <c r="K388" s="2" t="n"/>
    </row>
    <row r="389">
      <c r="A389">
        <f>IF(B389="","",ROW()-1)</f>
        <v/>
      </c>
      <c r="H389" s="2" t="n"/>
      <c r="K389" s="2" t="n"/>
    </row>
    <row r="390">
      <c r="A390">
        <f>IF(B390="","",ROW()-1)</f>
        <v/>
      </c>
      <c r="H390" s="2" t="n"/>
      <c r="K390" s="2" t="n"/>
    </row>
    <row r="391">
      <c r="A391">
        <f>IF(B391="","",ROW()-1)</f>
        <v/>
      </c>
      <c r="H391" s="2" t="n"/>
      <c r="K391" s="2" t="n"/>
    </row>
    <row r="392">
      <c r="A392">
        <f>IF(B392="","",ROW()-1)</f>
        <v/>
      </c>
      <c r="H392" s="2" t="n"/>
      <c r="K392" s="2" t="n"/>
    </row>
    <row r="393">
      <c r="A393">
        <f>IF(B393="","",ROW()-1)</f>
        <v/>
      </c>
      <c r="H393" s="2" t="n"/>
      <c r="K393" s="2" t="n"/>
    </row>
    <row r="394">
      <c r="A394">
        <f>IF(B394="","",ROW()-1)</f>
        <v/>
      </c>
      <c r="H394" s="2" t="n"/>
      <c r="K394" s="2" t="n"/>
    </row>
    <row r="395">
      <c r="A395">
        <f>IF(B395="","",ROW()-1)</f>
        <v/>
      </c>
      <c r="H395" s="2" t="n"/>
      <c r="K395" s="2" t="n"/>
    </row>
    <row r="396">
      <c r="A396">
        <f>IF(B396="","",ROW()-1)</f>
        <v/>
      </c>
      <c r="H396" s="2" t="n"/>
      <c r="K396" s="2" t="n"/>
    </row>
    <row r="397">
      <c r="A397">
        <f>IF(B397="","",ROW()-1)</f>
        <v/>
      </c>
      <c r="H397" s="2" t="n"/>
      <c r="K397" s="2" t="n"/>
    </row>
    <row r="398">
      <c r="A398">
        <f>IF(B398="","",ROW()-1)</f>
        <v/>
      </c>
      <c r="H398" s="2" t="n"/>
      <c r="K398" s="2" t="n"/>
    </row>
    <row r="399">
      <c r="A399">
        <f>IF(B399="","",ROW()-1)</f>
        <v/>
      </c>
      <c r="H399" s="2" t="n"/>
      <c r="K399" s="2" t="n"/>
    </row>
    <row r="400">
      <c r="A400">
        <f>IF(B400="","",ROW()-1)</f>
        <v/>
      </c>
      <c r="H400" s="2" t="n"/>
      <c r="K400" s="2" t="n"/>
    </row>
    <row r="401">
      <c r="A401">
        <f>IF(B401="","",ROW()-1)</f>
        <v/>
      </c>
      <c r="H401" s="2" t="n"/>
      <c r="K401" s="2" t="n"/>
    </row>
    <row r="402">
      <c r="A402">
        <f>IF(B402="","",ROW()-1)</f>
        <v/>
      </c>
      <c r="H402" s="2" t="n"/>
      <c r="K402" s="2" t="n"/>
    </row>
    <row r="403">
      <c r="A403">
        <f>IF(B403="","",ROW()-1)</f>
        <v/>
      </c>
      <c r="H403" s="2" t="n"/>
      <c r="K403" s="2" t="n"/>
    </row>
    <row r="404">
      <c r="A404">
        <f>IF(B404="","",ROW()-1)</f>
        <v/>
      </c>
      <c r="H404" s="2" t="n"/>
      <c r="K404" s="2" t="n"/>
    </row>
    <row r="405">
      <c r="A405">
        <f>IF(B405="","",ROW()-1)</f>
        <v/>
      </c>
      <c r="H405" s="2" t="n"/>
      <c r="K405" s="2" t="n"/>
    </row>
    <row r="406">
      <c r="A406">
        <f>IF(B406="","",ROW()-1)</f>
        <v/>
      </c>
      <c r="H406" s="2" t="n"/>
      <c r="K406" s="2" t="n"/>
    </row>
    <row r="407">
      <c r="A407">
        <f>IF(B407="","",ROW()-1)</f>
        <v/>
      </c>
      <c r="H407" s="2" t="n"/>
      <c r="K407" s="2" t="n"/>
    </row>
    <row r="408">
      <c r="A408">
        <f>IF(B408="","",ROW()-1)</f>
        <v/>
      </c>
      <c r="H408" s="2" t="n"/>
      <c r="K408" s="2" t="n"/>
    </row>
    <row r="409">
      <c r="A409">
        <f>IF(B409="","",ROW()-1)</f>
        <v/>
      </c>
      <c r="H409" s="2" t="n"/>
      <c r="K409" s="2" t="n"/>
    </row>
    <row r="410">
      <c r="A410">
        <f>IF(B410="","",ROW()-1)</f>
        <v/>
      </c>
      <c r="H410" s="2" t="n"/>
      <c r="K410" s="2" t="n"/>
    </row>
    <row r="411">
      <c r="A411">
        <f>IF(B411="","",ROW()-1)</f>
        <v/>
      </c>
      <c r="H411" s="2" t="n"/>
      <c r="K411" s="2" t="n"/>
    </row>
    <row r="412">
      <c r="A412">
        <f>IF(B412="","",ROW()-1)</f>
        <v/>
      </c>
      <c r="H412" s="2" t="n"/>
      <c r="K412" s="2" t="n"/>
    </row>
    <row r="413">
      <c r="A413">
        <f>IF(B413="","",ROW()-1)</f>
        <v/>
      </c>
      <c r="H413" s="2" t="n"/>
      <c r="K413" s="2" t="n"/>
    </row>
    <row r="414">
      <c r="A414">
        <f>IF(B414="","",ROW()-1)</f>
        <v/>
      </c>
      <c r="H414" s="2" t="n"/>
      <c r="K414" s="2" t="n"/>
    </row>
    <row r="415">
      <c r="A415">
        <f>IF(B415="","",ROW()-1)</f>
        <v/>
      </c>
      <c r="H415" s="2" t="n"/>
      <c r="K415" s="2" t="n"/>
    </row>
    <row r="416">
      <c r="A416">
        <f>IF(B416="","",ROW()-1)</f>
        <v/>
      </c>
      <c r="H416" s="2" t="n"/>
      <c r="K416" s="2" t="n"/>
    </row>
    <row r="417">
      <c r="A417">
        <f>IF(B417="","",ROW()-1)</f>
        <v/>
      </c>
      <c r="H417" s="2" t="n"/>
      <c r="K417" s="2" t="n"/>
    </row>
    <row r="418">
      <c r="A418">
        <f>IF(B418="","",ROW()-1)</f>
        <v/>
      </c>
      <c r="H418" s="2" t="n"/>
      <c r="K418" s="2" t="n"/>
    </row>
    <row r="419">
      <c r="A419">
        <f>IF(B419="","",ROW()-1)</f>
        <v/>
      </c>
      <c r="H419" s="2" t="n"/>
      <c r="K419" s="2" t="n"/>
    </row>
    <row r="420">
      <c r="A420">
        <f>IF(B420="","",ROW()-1)</f>
        <v/>
      </c>
      <c r="H420" s="2" t="n"/>
      <c r="K420" s="2" t="n"/>
    </row>
    <row r="421">
      <c r="A421">
        <f>IF(B421="","",ROW()-1)</f>
        <v/>
      </c>
      <c r="H421" s="2" t="n"/>
      <c r="K421" s="2" t="n"/>
    </row>
    <row r="422">
      <c r="A422">
        <f>IF(B422="","",ROW()-1)</f>
        <v/>
      </c>
      <c r="H422" s="2" t="n"/>
      <c r="K422" s="2" t="n"/>
    </row>
    <row r="423">
      <c r="A423">
        <f>IF(B423="","",ROW()-1)</f>
        <v/>
      </c>
      <c r="H423" s="2" t="n"/>
      <c r="K423" s="2" t="n"/>
    </row>
    <row r="424">
      <c r="A424">
        <f>IF(B424="","",ROW()-1)</f>
        <v/>
      </c>
      <c r="H424" s="2" t="n"/>
      <c r="K424" s="2" t="n"/>
    </row>
    <row r="425">
      <c r="A425">
        <f>IF(B425="","",ROW()-1)</f>
        <v/>
      </c>
      <c r="H425" s="2" t="n"/>
      <c r="K425" s="2" t="n"/>
    </row>
    <row r="426">
      <c r="A426">
        <f>IF(B426="","",ROW()-1)</f>
        <v/>
      </c>
      <c r="H426" s="2" t="n"/>
      <c r="K426" s="2" t="n"/>
    </row>
    <row r="427">
      <c r="A427">
        <f>IF(B427="","",ROW()-1)</f>
        <v/>
      </c>
      <c r="H427" s="2" t="n"/>
      <c r="K427" s="2" t="n"/>
    </row>
    <row r="428">
      <c r="A428">
        <f>IF(B428="","",ROW()-1)</f>
        <v/>
      </c>
      <c r="H428" s="2" t="n"/>
      <c r="K428" s="2" t="n"/>
    </row>
    <row r="429">
      <c r="A429">
        <f>IF(B429="","",ROW()-1)</f>
        <v/>
      </c>
      <c r="H429" s="2" t="n"/>
      <c r="K429" s="2" t="n"/>
    </row>
    <row r="430">
      <c r="A430">
        <f>IF(B430="","",ROW()-1)</f>
        <v/>
      </c>
      <c r="H430" s="2" t="n"/>
      <c r="K430" s="2" t="n"/>
    </row>
    <row r="431">
      <c r="A431">
        <f>IF(B431="","",ROW()-1)</f>
        <v/>
      </c>
      <c r="H431" s="2" t="n"/>
      <c r="K431" s="2" t="n"/>
    </row>
    <row r="432">
      <c r="A432">
        <f>IF(B432="","",ROW()-1)</f>
        <v/>
      </c>
      <c r="H432" s="2" t="n"/>
      <c r="K432" s="2" t="n"/>
    </row>
    <row r="433">
      <c r="A433">
        <f>IF(B433="","",ROW()-1)</f>
        <v/>
      </c>
      <c r="H433" s="2" t="n"/>
      <c r="K433" s="2" t="n"/>
    </row>
    <row r="434">
      <c r="A434">
        <f>IF(B434="","",ROW()-1)</f>
        <v/>
      </c>
      <c r="H434" s="2" t="n"/>
      <c r="K434" s="2" t="n"/>
    </row>
    <row r="435">
      <c r="A435">
        <f>IF(B435="","",ROW()-1)</f>
        <v/>
      </c>
      <c r="H435" s="2" t="n"/>
      <c r="K435" s="2" t="n"/>
    </row>
    <row r="436">
      <c r="A436">
        <f>IF(B436="","",ROW()-1)</f>
        <v/>
      </c>
      <c r="H436" s="2" t="n"/>
      <c r="K436" s="2" t="n"/>
    </row>
    <row r="437">
      <c r="A437">
        <f>IF(B437="","",ROW()-1)</f>
        <v/>
      </c>
      <c r="H437" s="2" t="n"/>
      <c r="K437" s="2" t="n"/>
    </row>
    <row r="438">
      <c r="A438">
        <f>IF(B438="","",ROW()-1)</f>
        <v/>
      </c>
      <c r="H438" s="2" t="n"/>
      <c r="K438" s="2" t="n"/>
    </row>
    <row r="439">
      <c r="A439">
        <f>IF(B439="","",ROW()-1)</f>
        <v/>
      </c>
      <c r="H439" s="2" t="n"/>
      <c r="K439" s="2" t="n"/>
    </row>
    <row r="440">
      <c r="A440">
        <f>IF(B440="","",ROW()-1)</f>
        <v/>
      </c>
      <c r="H440" s="2" t="n"/>
      <c r="K440" s="2" t="n"/>
    </row>
    <row r="441">
      <c r="A441">
        <f>IF(B441="","",ROW()-1)</f>
        <v/>
      </c>
      <c r="H441" s="2" t="n"/>
      <c r="K441" s="2" t="n"/>
    </row>
    <row r="442">
      <c r="A442">
        <f>IF(B442="","",ROW()-1)</f>
        <v/>
      </c>
      <c r="H442" s="2" t="n"/>
      <c r="K442" s="2" t="n"/>
    </row>
    <row r="443">
      <c r="A443">
        <f>IF(B443="","",ROW()-1)</f>
        <v/>
      </c>
      <c r="H443" s="2" t="n"/>
      <c r="K443" s="2" t="n"/>
    </row>
    <row r="444">
      <c r="A444">
        <f>IF(B444="","",ROW()-1)</f>
        <v/>
      </c>
      <c r="H444" s="2" t="n"/>
      <c r="K444" s="2" t="n"/>
    </row>
    <row r="445">
      <c r="A445">
        <f>IF(B445="","",ROW()-1)</f>
        <v/>
      </c>
      <c r="H445" s="2" t="n"/>
      <c r="K445" s="2" t="n"/>
    </row>
    <row r="446">
      <c r="A446">
        <f>IF(B446="","",ROW()-1)</f>
        <v/>
      </c>
      <c r="H446" s="2" t="n"/>
      <c r="K446" s="2" t="n"/>
    </row>
    <row r="447">
      <c r="A447">
        <f>IF(B447="","",ROW()-1)</f>
        <v/>
      </c>
      <c r="H447" s="2" t="n"/>
      <c r="K447" s="2" t="n"/>
    </row>
    <row r="448">
      <c r="A448">
        <f>IF(B448="","",ROW()-1)</f>
        <v/>
      </c>
      <c r="H448" s="2" t="n"/>
      <c r="K448" s="2" t="n"/>
    </row>
    <row r="449">
      <c r="A449">
        <f>IF(B449="","",ROW()-1)</f>
        <v/>
      </c>
      <c r="H449" s="2" t="n"/>
      <c r="K449" s="2" t="n"/>
    </row>
    <row r="450">
      <c r="A450">
        <f>IF(B450="","",ROW()-1)</f>
        <v/>
      </c>
      <c r="H450" s="2" t="n"/>
      <c r="K450" s="2" t="n"/>
    </row>
    <row r="451">
      <c r="A451">
        <f>IF(B451="","",ROW()-1)</f>
        <v/>
      </c>
      <c r="H451" s="2" t="n"/>
      <c r="K451" s="2" t="n"/>
    </row>
    <row r="452">
      <c r="A452">
        <f>IF(B452="","",ROW()-1)</f>
        <v/>
      </c>
      <c r="H452" s="2" t="n"/>
      <c r="K452" s="2" t="n"/>
    </row>
    <row r="453">
      <c r="A453">
        <f>IF(B453="","",ROW()-1)</f>
        <v/>
      </c>
      <c r="H453" s="2" t="n"/>
      <c r="K453" s="2" t="n"/>
    </row>
    <row r="454">
      <c r="A454">
        <f>IF(B454="","",ROW()-1)</f>
        <v/>
      </c>
      <c r="H454" s="2" t="n"/>
      <c r="K454" s="2" t="n"/>
    </row>
    <row r="455">
      <c r="A455">
        <f>IF(B455="","",ROW()-1)</f>
        <v/>
      </c>
      <c r="H455" s="2" t="n"/>
      <c r="K455" s="2" t="n"/>
    </row>
    <row r="456">
      <c r="A456">
        <f>IF(B456="","",ROW()-1)</f>
        <v/>
      </c>
      <c r="H456" s="2" t="n"/>
      <c r="K456" s="2" t="n"/>
    </row>
    <row r="457">
      <c r="A457">
        <f>IF(B457="","",ROW()-1)</f>
        <v/>
      </c>
      <c r="H457" s="2" t="n"/>
      <c r="K457" s="2" t="n"/>
    </row>
    <row r="458">
      <c r="A458">
        <f>IF(B458="","",ROW()-1)</f>
        <v/>
      </c>
      <c r="H458" s="2" t="n"/>
      <c r="K458" s="2" t="n"/>
    </row>
    <row r="459">
      <c r="A459">
        <f>IF(B459="","",ROW()-1)</f>
        <v/>
      </c>
      <c r="H459" s="2" t="n"/>
      <c r="K459" s="2" t="n"/>
    </row>
    <row r="460">
      <c r="A460">
        <f>IF(B460="","",ROW()-1)</f>
        <v/>
      </c>
      <c r="H460" s="2" t="n"/>
      <c r="K460" s="2" t="n"/>
    </row>
    <row r="461">
      <c r="A461">
        <f>IF(B461="","",ROW()-1)</f>
        <v/>
      </c>
      <c r="H461" s="2" t="n"/>
      <c r="K461" s="2" t="n"/>
    </row>
    <row r="462">
      <c r="A462">
        <f>IF(B462="","",ROW()-1)</f>
        <v/>
      </c>
      <c r="H462" s="2" t="n"/>
      <c r="K462" s="2" t="n"/>
    </row>
    <row r="463">
      <c r="A463">
        <f>IF(B463="","",ROW()-1)</f>
        <v/>
      </c>
      <c r="H463" s="2" t="n"/>
      <c r="K463" s="2" t="n"/>
    </row>
    <row r="464">
      <c r="A464">
        <f>IF(B464="","",ROW()-1)</f>
        <v/>
      </c>
      <c r="H464" s="2" t="n"/>
      <c r="K464" s="2" t="n"/>
    </row>
    <row r="465">
      <c r="A465">
        <f>IF(B465="","",ROW()-1)</f>
        <v/>
      </c>
      <c r="H465" s="2" t="n"/>
      <c r="K465" s="2" t="n"/>
    </row>
    <row r="466">
      <c r="A466">
        <f>IF(B466="","",ROW()-1)</f>
        <v/>
      </c>
      <c r="H466" s="2" t="n"/>
      <c r="K466" s="2" t="n"/>
    </row>
    <row r="467">
      <c r="A467">
        <f>IF(B467="","",ROW()-1)</f>
        <v/>
      </c>
      <c r="H467" s="2" t="n"/>
      <c r="K467" s="2" t="n"/>
    </row>
    <row r="468">
      <c r="A468">
        <f>IF(B468="","",ROW()-1)</f>
        <v/>
      </c>
      <c r="H468" s="2" t="n"/>
      <c r="K468" s="2" t="n"/>
    </row>
    <row r="469">
      <c r="A469">
        <f>IF(B469="","",ROW()-1)</f>
        <v/>
      </c>
      <c r="H469" s="2" t="n"/>
      <c r="K469" s="2" t="n"/>
    </row>
    <row r="470">
      <c r="A470">
        <f>IF(B470="","",ROW()-1)</f>
        <v/>
      </c>
      <c r="H470" s="2" t="n"/>
      <c r="K470" s="2" t="n"/>
    </row>
    <row r="471">
      <c r="A471">
        <f>IF(B471="","",ROW()-1)</f>
        <v/>
      </c>
      <c r="H471" s="2" t="n"/>
      <c r="K471" s="2" t="n"/>
    </row>
    <row r="472">
      <c r="A472">
        <f>IF(B472="","",ROW()-1)</f>
        <v/>
      </c>
      <c r="H472" s="2" t="n"/>
      <c r="K472" s="2" t="n"/>
    </row>
    <row r="473">
      <c r="A473">
        <f>IF(B473="","",ROW()-1)</f>
        <v/>
      </c>
      <c r="H473" s="2" t="n"/>
      <c r="K473" s="2" t="n"/>
    </row>
    <row r="474">
      <c r="A474">
        <f>IF(B474="","",ROW()-1)</f>
        <v/>
      </c>
      <c r="H474" s="2" t="n"/>
      <c r="K474" s="2" t="n"/>
    </row>
    <row r="475">
      <c r="A475">
        <f>IF(B475="","",ROW()-1)</f>
        <v/>
      </c>
      <c r="H475" s="2" t="n"/>
      <c r="K475" s="2" t="n"/>
    </row>
    <row r="476">
      <c r="A476">
        <f>IF(B476="","",ROW()-1)</f>
        <v/>
      </c>
      <c r="H476" s="2" t="n"/>
      <c r="K476" s="2" t="n"/>
    </row>
    <row r="477">
      <c r="A477">
        <f>IF(B477="","",ROW()-1)</f>
        <v/>
      </c>
      <c r="H477" s="2" t="n"/>
      <c r="K477" s="2" t="n"/>
    </row>
    <row r="478">
      <c r="A478">
        <f>IF(B478="","",ROW()-1)</f>
        <v/>
      </c>
      <c r="H478" s="2" t="n"/>
      <c r="K478" s="2" t="n"/>
    </row>
    <row r="479">
      <c r="A479">
        <f>IF(B479="","",ROW()-1)</f>
        <v/>
      </c>
      <c r="H479" s="2" t="n"/>
      <c r="K479" s="2" t="n"/>
    </row>
    <row r="480">
      <c r="A480">
        <f>IF(B480="","",ROW()-1)</f>
        <v/>
      </c>
      <c r="H480" s="2" t="n"/>
      <c r="K480" s="2" t="n"/>
    </row>
    <row r="481">
      <c r="A481">
        <f>IF(B481="","",ROW()-1)</f>
        <v/>
      </c>
      <c r="H481" s="2" t="n"/>
      <c r="K481" s="2" t="n"/>
    </row>
    <row r="482">
      <c r="A482">
        <f>IF(B482="","",ROW()-1)</f>
        <v/>
      </c>
      <c r="H482" s="2" t="n"/>
      <c r="K482" s="2" t="n"/>
    </row>
    <row r="483">
      <c r="A483">
        <f>IF(B483="","",ROW()-1)</f>
        <v/>
      </c>
      <c r="H483" s="2" t="n"/>
      <c r="K483" s="2" t="n"/>
    </row>
    <row r="484">
      <c r="A484">
        <f>IF(B484="","",ROW()-1)</f>
        <v/>
      </c>
      <c r="H484" s="2" t="n"/>
      <c r="K484" s="2" t="n"/>
    </row>
    <row r="485">
      <c r="A485">
        <f>IF(B485="","",ROW()-1)</f>
        <v/>
      </c>
      <c r="H485" s="2" t="n"/>
      <c r="K485" s="2" t="n"/>
    </row>
    <row r="486">
      <c r="A486">
        <f>IF(B486="","",ROW()-1)</f>
        <v/>
      </c>
      <c r="H486" s="2" t="n"/>
      <c r="K486" s="2" t="n"/>
    </row>
    <row r="487">
      <c r="A487">
        <f>IF(B487="","",ROW()-1)</f>
        <v/>
      </c>
      <c r="H487" s="2" t="n"/>
      <c r="K487" s="2" t="n"/>
    </row>
    <row r="488">
      <c r="A488">
        <f>IF(B488="","",ROW()-1)</f>
        <v/>
      </c>
      <c r="H488" s="2" t="n"/>
      <c r="K488" s="2" t="n"/>
    </row>
    <row r="489">
      <c r="A489">
        <f>IF(B489="","",ROW()-1)</f>
        <v/>
      </c>
      <c r="H489" s="2" t="n"/>
      <c r="K489" s="2" t="n"/>
    </row>
    <row r="490">
      <c r="A490">
        <f>IF(B490="","",ROW()-1)</f>
        <v/>
      </c>
      <c r="H490" s="2" t="n"/>
      <c r="K490" s="2" t="n"/>
    </row>
    <row r="491">
      <c r="A491">
        <f>IF(B491="","",ROW()-1)</f>
        <v/>
      </c>
      <c r="H491" s="2" t="n"/>
      <c r="K491" s="2" t="n"/>
    </row>
    <row r="492">
      <c r="A492">
        <f>IF(B492="","",ROW()-1)</f>
        <v/>
      </c>
      <c r="H492" s="2" t="n"/>
      <c r="K492" s="2" t="n"/>
    </row>
    <row r="493">
      <c r="A493">
        <f>IF(B493="","",ROW()-1)</f>
        <v/>
      </c>
      <c r="H493" s="2" t="n"/>
      <c r="K493" s="2" t="n"/>
    </row>
    <row r="494">
      <c r="A494">
        <f>IF(B494="","",ROW()-1)</f>
        <v/>
      </c>
      <c r="H494" s="2" t="n"/>
      <c r="K494" s="2" t="n"/>
    </row>
    <row r="495">
      <c r="A495">
        <f>IF(B495="","",ROW()-1)</f>
        <v/>
      </c>
      <c r="H495" s="2" t="n"/>
      <c r="K495" s="2" t="n"/>
    </row>
    <row r="496">
      <c r="A496">
        <f>IF(B496="","",ROW()-1)</f>
        <v/>
      </c>
      <c r="H496" s="2" t="n"/>
      <c r="K496" s="2" t="n"/>
    </row>
    <row r="497">
      <c r="A497">
        <f>IF(B497="","",ROW()-1)</f>
        <v/>
      </c>
      <c r="H497" s="2" t="n"/>
      <c r="K497" s="2" t="n"/>
    </row>
    <row r="498">
      <c r="A498">
        <f>IF(B498="","",ROW()-1)</f>
        <v/>
      </c>
      <c r="H498" s="2" t="n"/>
      <c r="K498" s="2" t="n"/>
    </row>
    <row r="499">
      <c r="A499">
        <f>IF(B499="","",ROW()-1)</f>
        <v/>
      </c>
      <c r="H499" s="2" t="n"/>
      <c r="K499" s="2" t="n"/>
    </row>
  </sheetData>
  <mergeCells count="11">
    <mergeCell ref="P14:P15"/>
    <mergeCell ref="N14:N15"/>
    <mergeCell ref="M14:M15"/>
    <mergeCell ref="Q14:Q15"/>
    <mergeCell ref="O11:O12"/>
    <mergeCell ref="M1:O1"/>
    <mergeCell ref="M11:M12"/>
    <mergeCell ref="Q11:Q12"/>
    <mergeCell ref="O14:O15"/>
    <mergeCell ref="P11:P12"/>
    <mergeCell ref="N11:N12"/>
  </mergeCells>
  <conditionalFormatting sqref="A2:K499">
    <cfRule type="expression" priority="1" dxfId="3">
      <formula>$J2="Compliant"</formula>
    </cfRule>
    <cfRule type="expression" priority="2" dxfId="2">
      <formula>$J2="Non-Compliant"</formula>
    </cfRule>
    <cfRule type="expression" priority="3" dxfId="1">
      <formula>$J2="Pending"</formula>
    </cfRule>
    <cfRule type="expression" priority="4" dxfId="0">
      <formula>$J2="Under Review"</formula>
    </cfRule>
  </conditionalFormatting>
  <dataValidations count="5">
    <dataValidation sqref="J2:J499" showDropDown="0" showInputMessage="0" showErrorMessage="0" allowBlank="1" type="list">
      <formula1>"Compliant,Non-Compliant,Pending,Under Review,Exempted"</formula1>
    </dataValidation>
    <dataValidation sqref="I2:I499" showDropDown="0" showInputMessage="0" showErrorMessage="0" allowBlank="1" type="list">
      <formula1>"Yes,No,N/A"</formula1>
    </dataValidation>
    <dataValidation sqref="G2:G499" showDropDown="0" showInputMessage="0" showErrorMessage="0" allowBlank="1" type="list">
      <formula1>"Yes,No,Awaiting"</formula1>
    </dataValidation>
    <dataValidation sqref="F2:F499" showDropDown="0" showInputMessage="0" showErrorMessage="0" allowBlank="1" type="list">
      <formula1>"Monthly,Quarterly,Biannually,Annually,Vendor Dependent"</formula1>
    </dataValidation>
    <dataValidation sqref="D2:D499" showDropDown="0" showInputMessage="0" showErrorMessage="0" allowBlank="1" type="list">
      <formula1>"AERO,PA,PT,BA,CORP,IA"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ASN</t>
        </is>
      </c>
      <c r="C1" t="inlineStr">
        <is>
          <t>Application Name</t>
        </is>
      </c>
      <c r="D1" t="inlineStr">
        <is>
          <t>Changes Summary</t>
        </is>
      </c>
      <c r="E1" t="inlineStr">
        <is>
          <t>Source Upload</t>
        </is>
      </c>
    </row>
    <row r="2">
      <c r="A2" t="inlineStr">
        <is>
          <t>2026-09-02 08:08</t>
        </is>
      </c>
      <c r="B2" t="inlineStr">
        <is>
          <t>ASN0000151</t>
        </is>
      </c>
      <c r="C2" t="inlineStr">
        <is>
          <t>SAP NWCE (BPP) 7.31 PROD</t>
        </is>
      </c>
      <c r="D2" t="inlineStr">
        <is>
          <t>SBG: CORP → BA | Application Owner: Amit Kurup → Abhisek</t>
        </is>
      </c>
      <c r="E2" t="inlineStr">
        <is>
          <t>Trackora_Master.xlsx @ 2026-09-02 08:08</t>
        </is>
      </c>
    </row>
    <row r="3">
      <c r="A3" t="inlineStr">
        <is>
          <t>2026-09-02 08:08</t>
        </is>
      </c>
      <c r="B3" t="inlineStr">
        <is>
          <t>ASN0000200</t>
        </is>
      </c>
      <c r="C3" t="inlineStr">
        <is>
          <t>SAP ERP (CIP) ECC 6.0 PROD</t>
        </is>
      </c>
      <c r="D3" t="inlineStr">
        <is>
          <t>Application Owner: Amit Kurup → Devi</t>
        </is>
      </c>
      <c r="E3" t="inlineStr">
        <is>
          <t>Trackora_Master.xlsx @ 2026-09-02 08:08</t>
        </is>
      </c>
    </row>
    <row r="4">
      <c r="A4" t="inlineStr">
        <is>
          <t>2026-09-02 08:08</t>
        </is>
      </c>
      <c r="B4" t="inlineStr">
        <is>
          <t>ASN0000309</t>
        </is>
      </c>
      <c r="C4" t="inlineStr">
        <is>
          <t>SAP Portal 7.31 PROD CORP</t>
        </is>
      </c>
      <c r="D4" t="inlineStr">
        <is>
          <t>Application Name: SAP Portal 7.31 PROD CORP → SAP PORTAL (BMP) 7.31 PROD | SBG: CORP → BA | Application Owner: Amit Kurup → Adele Vance</t>
        </is>
      </c>
      <c r="E4" t="inlineStr">
        <is>
          <t>Trackora_Master.xlsx @ 2026-09-02 08:08</t>
        </is>
      </c>
    </row>
    <row r="5">
      <c r="A5" t="inlineStr">
        <is>
          <t>2026-09-02 08:08</t>
        </is>
      </c>
      <c r="B5" t="inlineStr">
        <is>
          <t>ASN0000308</t>
        </is>
      </c>
      <c r="C5" t="inlineStr">
        <is>
          <t>ORACLE ERP - INTELLIGRATED 12.2.12. PROD</t>
        </is>
      </c>
      <c r="D5" t="inlineStr">
        <is>
          <t>Application Owner: Dinesh Garg → Komal</t>
        </is>
      </c>
      <c r="E5" t="inlineStr">
        <is>
          <t>Trackora_Master.xlsx @ 2026-09-02 08:08</t>
        </is>
      </c>
    </row>
    <row r="6">
      <c r="A6" t="inlineStr">
        <is>
          <t>2026-09-02 08:08</t>
        </is>
      </c>
      <c r="B6" t="inlineStr">
        <is>
          <t>ASN0000103</t>
        </is>
      </c>
      <c r="C6" t="inlineStr">
        <is>
          <t>HR ANALYTICS-ORACLE-OBIEE</t>
        </is>
      </c>
      <c r="D6" t="inlineStr">
        <is>
          <t>Application Owner: Hozefa Sihorwala → Devi</t>
        </is>
      </c>
      <c r="E6" t="inlineStr">
        <is>
          <t>Trackora_Master.xlsx @ 2026-09-02 08:08</t>
        </is>
      </c>
    </row>
    <row r="7">
      <c r="A7" t="inlineStr">
        <is>
          <t>2026-09-02 08:08</t>
        </is>
      </c>
      <c r="B7" t="inlineStr">
        <is>
          <t>ASN0000248</t>
        </is>
      </c>
      <c r="C7" t="inlineStr">
        <is>
          <t>PEOPLESOFT 9.2 PROD CORP</t>
        </is>
      </c>
      <c r="D7" t="inlineStr">
        <is>
          <t>Application Owner: Hozefa Sihorwala → Siddharth</t>
        </is>
      </c>
      <c r="E7" t="inlineStr">
        <is>
          <t>Trackora_Master.xlsx @ 2026-09-02 08:08</t>
        </is>
      </c>
    </row>
    <row r="8">
      <c r="A8" t="inlineStr">
        <is>
          <t>2026-09-02 08:08</t>
        </is>
      </c>
      <c r="B8" t="inlineStr">
        <is>
          <t>ASN0000160</t>
        </is>
      </c>
      <c r="C8" t="inlineStr">
        <is>
          <t>SHAREPOINT BUSINESS INTELLIGENCE 2016 PROD</t>
        </is>
      </c>
      <c r="D8" t="inlineStr">
        <is>
          <t>SBG: CORP → AERO | Application Owner: Jagadeesh Nethakara → Adele Vance</t>
        </is>
      </c>
      <c r="E8" t="inlineStr">
        <is>
          <t>Trackora_Master.xlsx @ 2026-09-02 08:08</t>
        </is>
      </c>
    </row>
    <row r="9">
      <c r="A9" t="inlineStr">
        <is>
          <t>2026-09-02 08:08</t>
        </is>
      </c>
      <c r="B9" t="inlineStr">
        <is>
          <t>ASN0000290</t>
        </is>
      </c>
      <c r="C9" t="inlineStr">
        <is>
          <t>JFROG ARTIFACTORY NA 5.4.5 PROD</t>
        </is>
      </c>
      <c r="D9" t="inlineStr">
        <is>
          <t>Application Owner: Krippashankar Yadav → Komal</t>
        </is>
      </c>
      <c r="E9" t="inlineStr">
        <is>
          <t>Trackora_Master.xlsx @ 2026-09-02 08:08</t>
        </is>
      </c>
    </row>
    <row r="10">
      <c r="A10" t="inlineStr">
        <is>
          <t>2026-09-02 08:08</t>
        </is>
      </c>
      <c r="B10" t="inlineStr">
        <is>
          <t>ASN0000191</t>
        </is>
      </c>
      <c r="C10" t="inlineStr">
        <is>
          <t>OCR SERVICES EASE 1.0 PROD</t>
        </is>
      </c>
      <c r="D10" t="inlineStr">
        <is>
          <t>Application Owner: Mahananda Jadhav → Komal</t>
        </is>
      </c>
      <c r="E10" t="inlineStr">
        <is>
          <t>Trackora_Master.xlsx @ 2026-09-02 08:08</t>
        </is>
      </c>
    </row>
    <row r="11">
      <c r="A11" t="inlineStr">
        <is>
          <t>2026-09-02 08:08</t>
        </is>
      </c>
      <c r="B11" t="inlineStr">
        <is>
          <t>ASN0000342</t>
        </is>
      </c>
      <c r="C11" t="inlineStr">
        <is>
          <t>MICROSOFT BITLOCKER ADMINISTRATION AND MONITORING 8.1 PROD</t>
        </is>
      </c>
      <c r="D11" t="inlineStr">
        <is>
          <t>Application Owner: Marius Costea → Adele Vance</t>
        </is>
      </c>
      <c r="E11" t="inlineStr">
        <is>
          <t>Trackora_Master.xlsx @ 2026-09-02 08:08</t>
        </is>
      </c>
    </row>
    <row r="12">
      <c r="A12" t="inlineStr">
        <is>
          <t>2026-09-02 08:08</t>
        </is>
      </c>
      <c r="B12" t="inlineStr">
        <is>
          <t>ASN0000226</t>
        </is>
      </c>
      <c r="C12" t="inlineStr">
        <is>
          <t>Corp LDAP Directory Service Prod 7.3.7 PROD</t>
        </is>
      </c>
      <c r="D12" t="inlineStr">
        <is>
          <t>Application Owner: Prabhakaran Manoharan → Samiksha</t>
        </is>
      </c>
      <c r="E12" t="inlineStr">
        <is>
          <t>Trackora_Master.xlsx @ 2026-09-02 08:08</t>
        </is>
      </c>
    </row>
    <row r="13">
      <c r="A13" t="inlineStr">
        <is>
          <t>2026-09-02 08:08</t>
        </is>
      </c>
      <c r="B13" t="inlineStr">
        <is>
          <t>ASN0000137</t>
        </is>
      </c>
      <c r="C13" t="inlineStr">
        <is>
          <t>SAP SCM APO (CAP) PMT PROD</t>
        </is>
      </c>
      <c r="D13" t="inlineStr">
        <is>
          <t>Application Owner: Purnachander Bekkanti → Samiksha</t>
        </is>
      </c>
      <c r="E13" t="inlineStr">
        <is>
          <t>Trackora_Master.xlsx @ 2026-09-02 08:08</t>
        </is>
      </c>
    </row>
    <row r="14">
      <c r="A14" t="inlineStr">
        <is>
          <t>2026-09-02 08:08</t>
        </is>
      </c>
      <c r="B14" t="inlineStr">
        <is>
          <t>ASN0000282</t>
        </is>
      </c>
      <c r="C14" t="inlineStr">
        <is>
          <t>BUSINESS FORECAST PRO TRAC 7 PROD</t>
        </is>
      </c>
      <c r="D14" t="inlineStr">
        <is>
          <t>Application Owner: Purnachander Bekkanti → Devi</t>
        </is>
      </c>
      <c r="E14" t="inlineStr">
        <is>
          <t>Trackora_Master.xlsx @ 2026-09-02 08:08</t>
        </is>
      </c>
    </row>
    <row r="15">
      <c r="A15" t="inlineStr">
        <is>
          <t>2026-09-02 08:08</t>
        </is>
      </c>
      <c r="B15" t="inlineStr">
        <is>
          <t>ASN0000296</t>
        </is>
      </c>
      <c r="C15" t="inlineStr">
        <is>
          <t>PMTISCLIMS 8.7.2</t>
        </is>
      </c>
      <c r="D15" t="inlineStr">
        <is>
          <t>Application Name: PMTISCLIMS 8.7.2 → LABVANTAGE- LIMS 8.7.2 PROD PT | Application Owner: Somasundara Barathi → Abhisek</t>
        </is>
      </c>
      <c r="E15" t="inlineStr">
        <is>
          <t>Trackora_Master.xlsx @ 2026-09-02 08:08</t>
        </is>
      </c>
    </row>
    <row r="16">
      <c r="A16" t="inlineStr">
        <is>
          <t>2026-09-02 08:08</t>
        </is>
      </c>
      <c r="B16" t="inlineStr">
        <is>
          <t>ASN0000297</t>
        </is>
      </c>
      <c r="C16" t="inlineStr">
        <is>
          <t>PMTISCLIMS UTILITIES 8.7.2 PROD</t>
        </is>
      </c>
      <c r="D16" t="inlineStr">
        <is>
          <t>Application Owner: Somasundara Barathi → Samiksha</t>
        </is>
      </c>
      <c r="E16" t="inlineStr">
        <is>
          <t>Trackora_Master.xlsx @ 2026-09-02 08:08</t>
        </is>
      </c>
    </row>
    <row r="17">
      <c r="A17" t="inlineStr">
        <is>
          <t>2026-09-02 08:08</t>
        </is>
      </c>
      <c r="B17" t="inlineStr">
        <is>
          <t>ASN0000126</t>
        </is>
      </c>
      <c r="C17" t="inlineStr">
        <is>
          <t>TAXWARE 6.0 PROD PT</t>
        </is>
      </c>
      <c r="D17" t="inlineStr">
        <is>
          <t>Application Owner: Vikram Shamkumar → Komal,Samiksha</t>
        </is>
      </c>
      <c r="E17" t="inlineStr">
        <is>
          <t>Trackora_Master.xlsx @ 2026-09-02 08:08</t>
        </is>
      </c>
    </row>
    <row r="18">
      <c r="A18" t="inlineStr">
        <is>
          <t>2026-09-02 08:08</t>
        </is>
      </c>
      <c r="B18" t="inlineStr">
        <is>
          <t>ASN0000203</t>
        </is>
      </c>
      <c r="C18" t="inlineStr">
        <is>
          <t>SITECORE APPLICATIONS 9 PROD</t>
        </is>
      </c>
      <c r="D18" t="inlineStr">
        <is>
          <t>New application added (ASN ASN0000203 not previously in tracker)</t>
        </is>
      </c>
      <c r="E18" t="inlineStr">
        <is>
          <t>Trackora_Master.xlsx @ 2026-09-02 08:08</t>
        </is>
      </c>
    </row>
    <row r="19">
      <c r="A19" t="inlineStr">
        <is>
          <t>2026-09-02 08:08</t>
        </is>
      </c>
      <c r="B19" t="inlineStr">
        <is>
          <t>ASN0000281</t>
        </is>
      </c>
      <c r="C19" t="inlineStr">
        <is>
          <t>AERO JIRA  NC 8.3.4 PROD</t>
        </is>
      </c>
      <c r="D19" t="inlineStr">
        <is>
          <t>New application added (ASN ASN0000281 not previously in tracker)</t>
        </is>
      </c>
      <c r="E19" t="inlineStr">
        <is>
          <t>Trackora_Master.xlsx @ 2026-09-02 08:08</t>
        </is>
      </c>
    </row>
    <row r="20">
      <c r="A20" t="inlineStr">
        <is>
          <t>2026-09-02 08:08</t>
        </is>
      </c>
      <c r="B20" t="inlineStr">
        <is>
          <t>ASN0000327</t>
        </is>
      </c>
      <c r="C20" t="inlineStr">
        <is>
          <t>TEAMCENTER - REDDITCH - STACK 1.0 PROD</t>
        </is>
      </c>
      <c r="D20" t="inlineStr">
        <is>
          <t>New application added (ASN ASN0000327 not previously in tracker)</t>
        </is>
      </c>
      <c r="E20" t="inlineStr">
        <is>
          <t>Trackora_Master.xlsx @ 2026-09-02 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Debasis Kandi</dc:creator>
  <dcterms:created xmlns:dcterms="http://purl.org/dc/terms/" xmlns:xsi="http://www.w3.org/2001/XMLSchema-instance" xsi:type="dcterms:W3CDTF">2026-09-02T01:48:52Z</dcterms:created>
  <dcterms:modified xmlns:dcterms="http://purl.org/dc/terms/" xmlns:xsi="http://www.w3.org/2001/XMLSchema-instance" xsi:type="dcterms:W3CDTF">2026-09-02T02:38:24Z</dcterms:modified>
  <cp:lastModifiedBy>Debasis Kandi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0x0101000690CD348408E04BB2E53C4A71274EFE</vt:lpwstr>
  </property>
</Properties>
</file>